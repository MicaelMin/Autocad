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drawings/drawing3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ameie0\Desktop\"/>
    </mc:Choice>
  </mc:AlternateContent>
  <xr:revisionPtr revIDLastSave="0" documentId="13_ncr:1_{B2E6C41A-4661-4766-8F97-4C66F8BCAAE1}" xr6:coauthVersionLast="47" xr6:coauthVersionMax="47" xr10:uidLastSave="{00000000-0000-0000-0000-000000000000}"/>
  <bookViews>
    <workbookView xWindow="2895" yWindow="1320" windowWidth="11250" windowHeight="15345" tabRatio="328" firstSheet="1" activeTab="1" xr2:uid="{1902D3E9-5D74-46FD-8486-33E184E6092A}"/>
  </bookViews>
  <sheets>
    <sheet name="STEP 1" sheetId="5" r:id="rId1"/>
    <sheet name="STEP 2" sheetId="1" r:id="rId2"/>
    <sheet name="TreeView" sheetId="6" r:id="rId3"/>
    <sheet name="Group" sheetId="9" r:id="rId4"/>
    <sheet name="Blocs" sheetId="2" r:id="rId5"/>
    <sheet name="Temp" sheetId="4" r:id="rId6"/>
  </sheets>
  <functionGroups builtInGroupCount="19"/>
  <definedNames>
    <definedName name="_xlnm._FilterDatabase" localSheetId="1" hidden="1">'STEP 2'!$A$1:$O$1446</definedName>
    <definedName name="_xlnm._FilterDatabase" localSheetId="2" hidden="1">TreeView!$A$1:$I$687</definedName>
    <definedName name="_xleta.LEFT" hidden="1" xlm="1">#NAME?</definedName>
    <definedName name="Blocs_Siemens">Blocs!$A$2:$C$36</definedName>
    <definedName name="celAddress">'STEP 1'!$C$8</definedName>
    <definedName name="celArea">Group!$W$2</definedName>
    <definedName name="celCustomer">'STEP 1'!$C$6</definedName>
    <definedName name="celDate">'STEP 1'!$F$6</definedName>
    <definedName name="celDoubles">'STEP 2'!$F$1</definedName>
    <definedName name="celEQ">'STEP 1'!$C$4</definedName>
    <definedName name="celFolder">'STEP 1'!$F$10</definedName>
    <definedName name="celLimits">Group!$AA$2</definedName>
    <definedName name="celLocation">'STEP 1'!$F$8</definedName>
    <definedName name="celModeler">'STEP 1'!$F$4</definedName>
    <definedName name="celSystem">'STEP 1'!$C$10</definedName>
    <definedName name="FloorNameOrg">'STEP 1'!$X$17:$X$36</definedName>
    <definedName name="FloorNameProject">FloorStructure[Onglet]</definedName>
    <definedName name="GroupStructure">Group!$A$2:$S$103</definedName>
    <definedName name="Levels">FloorStructure[Onglet]</definedName>
    <definedName name="rngCheckList">'STEP 1'!$L$6:$L$23</definedName>
    <definedName name="rngTABnew">TabNames[NEW]</definedName>
    <definedName name="rngTABold">TabNames[ACT]</definedName>
    <definedName name="rngTABProject">FloorStructure[Onglet]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9" l="1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J25" i="5"/>
  <c r="J24" i="5"/>
  <c r="J23" i="5"/>
  <c r="J22" i="5"/>
  <c r="J21" i="5"/>
  <c r="J20" i="5"/>
  <c r="J19" i="5"/>
  <c r="J18" i="5"/>
  <c r="J17" i="5"/>
  <c r="Z21" i="9" l="1"/>
  <c r="Z22" i="9"/>
  <c r="Z23" i="9"/>
  <c r="AA23" i="9" s="1"/>
  <c r="Z5" i="9"/>
  <c r="AA5" i="9" s="1"/>
  <c r="Z6" i="9"/>
  <c r="AA6" i="9" s="1"/>
  <c r="Z7" i="9"/>
  <c r="AA7" i="9" s="1"/>
  <c r="Z8" i="9"/>
  <c r="AA8" i="9" s="1"/>
  <c r="Z9" i="9"/>
  <c r="AA9" i="9" s="1"/>
  <c r="Z10" i="9"/>
  <c r="AA10" i="9" s="1"/>
  <c r="Z11" i="9"/>
  <c r="AA11" i="9" s="1"/>
  <c r="Z20" i="9"/>
  <c r="Z19" i="9"/>
  <c r="Z18" i="9"/>
  <c r="Z17" i="9"/>
  <c r="Z16" i="9"/>
  <c r="Z15" i="9"/>
  <c r="Z14" i="9"/>
  <c r="Z13" i="9"/>
  <c r="Z12" i="9"/>
  <c r="AA22" i="9" l="1"/>
  <c r="R2" i="9"/>
  <c r="R3" i="9" s="1"/>
  <c r="N2" i="9"/>
  <c r="N3" i="9" s="1"/>
  <c r="AA18" i="9"/>
  <c r="AA13" i="9"/>
  <c r="I2" i="9"/>
  <c r="AA14" i="9"/>
  <c r="J2" i="9"/>
  <c r="K2" i="9"/>
  <c r="AA15" i="9"/>
  <c r="L2" i="9"/>
  <c r="AA16" i="9"/>
  <c r="M2" i="9"/>
  <c r="M3" i="9" s="1"/>
  <c r="AA17" i="9"/>
  <c r="Q2" i="9"/>
  <c r="Q3" i="9" s="1"/>
  <c r="AA21" i="9"/>
  <c r="AA19" i="9"/>
  <c r="O2" i="9"/>
  <c r="O3" i="9" s="1"/>
  <c r="P2" i="9"/>
  <c r="P3" i="9" s="1"/>
  <c r="AA20" i="9"/>
  <c r="AA12" i="9"/>
  <c r="H2" i="9"/>
  <c r="H3" i="9" s="1"/>
  <c r="D2" i="9"/>
  <c r="D3" i="9" s="1"/>
  <c r="G2" i="9"/>
  <c r="G3" i="9" s="1"/>
  <c r="C2" i="9"/>
  <c r="C3" i="9" s="1"/>
  <c r="A2" i="9"/>
  <c r="A3" i="9" s="1"/>
  <c r="S2" i="9"/>
  <c r="S3" i="9" s="1"/>
  <c r="F2" i="9"/>
  <c r="F3" i="9" s="1"/>
  <c r="E2" i="9"/>
  <c r="E3" i="9" s="1"/>
  <c r="B2" i="9"/>
  <c r="B3" i="9" s="1"/>
  <c r="O5" i="9"/>
  <c r="O6" i="9" s="1"/>
  <c r="O7" i="9" s="1"/>
  <c r="O8" i="9" s="1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N5" i="9" l="1"/>
  <c r="N6" i="9" s="1"/>
  <c r="N7" i="9" s="1"/>
  <c r="N8" i="9" s="1"/>
  <c r="N9" i="9" s="1"/>
  <c r="N10" i="9" s="1"/>
  <c r="N11" i="9" s="1"/>
  <c r="N12" i="9" s="1"/>
  <c r="N13" i="9" s="1"/>
  <c r="N14" i="9" s="1"/>
  <c r="N15" i="9" s="1"/>
  <c r="N16" i="9" s="1"/>
  <c r="N17" i="9" s="1"/>
  <c r="N18" i="9" s="1"/>
  <c r="N19" i="9" s="1"/>
  <c r="N20" i="9" s="1"/>
  <c r="N21" i="9" s="1"/>
  <c r="N22" i="9" s="1"/>
  <c r="N23" i="9" s="1"/>
  <c r="N24" i="9" s="1"/>
  <c r="N25" i="9" s="1"/>
  <c r="N26" i="9" s="1"/>
  <c r="N27" i="9" s="1"/>
  <c r="N28" i="9" s="1"/>
  <c r="N29" i="9" s="1"/>
  <c r="N30" i="9" s="1"/>
  <c r="N31" i="9" s="1"/>
  <c r="N32" i="9" s="1"/>
  <c r="N33" i="9" s="1"/>
  <c r="N34" i="9" s="1"/>
  <c r="N35" i="9" s="1"/>
  <c r="N36" i="9" s="1"/>
  <c r="N37" i="9" s="1"/>
  <c r="N38" i="9" s="1"/>
  <c r="N39" i="9" s="1"/>
  <c r="N40" i="9" s="1"/>
  <c r="N41" i="9" s="1"/>
  <c r="N42" i="9" s="1"/>
  <c r="N43" i="9" s="1"/>
  <c r="N44" i="9" s="1"/>
  <c r="N45" i="9" s="1"/>
  <c r="N46" i="9" s="1"/>
  <c r="N47" i="9" s="1"/>
  <c r="N48" i="9" s="1"/>
  <c r="N49" i="9" s="1"/>
  <c r="N50" i="9" s="1"/>
  <c r="N51" i="9" s="1"/>
  <c r="N52" i="9" s="1"/>
  <c r="N53" i="9" s="1"/>
  <c r="N54" i="9" s="1"/>
  <c r="N55" i="9" s="1"/>
  <c r="N56" i="9" s="1"/>
  <c r="N57" i="9" s="1"/>
  <c r="N58" i="9" s="1"/>
  <c r="N59" i="9" s="1"/>
  <c r="N60" i="9" s="1"/>
  <c r="N61" i="9" s="1"/>
  <c r="N62" i="9" s="1"/>
  <c r="N63" i="9" s="1"/>
  <c r="N64" i="9" s="1"/>
  <c r="N65" i="9" s="1"/>
  <c r="N66" i="9" s="1"/>
  <c r="N67" i="9" s="1"/>
  <c r="N68" i="9" s="1"/>
  <c r="N69" i="9" s="1"/>
  <c r="N70" i="9" s="1"/>
  <c r="N71" i="9" s="1"/>
  <c r="N72" i="9" s="1"/>
  <c r="N73" i="9" s="1"/>
  <c r="N74" i="9" s="1"/>
  <c r="N75" i="9" s="1"/>
  <c r="N76" i="9" s="1"/>
  <c r="N77" i="9" s="1"/>
  <c r="N78" i="9" s="1"/>
  <c r="N79" i="9" s="1"/>
  <c r="N80" i="9" s="1"/>
  <c r="N81" i="9" s="1"/>
  <c r="N82" i="9" s="1"/>
  <c r="N83" i="9" s="1"/>
  <c r="N84" i="9" s="1"/>
  <c r="N85" i="9" s="1"/>
  <c r="N86" i="9" s="1"/>
  <c r="N87" i="9" s="1"/>
  <c r="N88" i="9" s="1"/>
  <c r="N89" i="9" s="1"/>
  <c r="N90" i="9" s="1"/>
  <c r="N91" i="9" s="1"/>
  <c r="N92" i="9" s="1"/>
  <c r="N93" i="9" s="1"/>
  <c r="N94" i="9" s="1"/>
  <c r="N95" i="9" s="1"/>
  <c r="N96" i="9" s="1"/>
  <c r="N97" i="9" s="1"/>
  <c r="N98" i="9" s="1"/>
  <c r="N99" i="9" s="1"/>
  <c r="N100" i="9" s="1"/>
  <c r="N101" i="9" s="1"/>
  <c r="N102" i="9" s="1"/>
  <c r="N103" i="9" s="1"/>
  <c r="L3" i="9"/>
  <c r="L5" i="9"/>
  <c r="L6" i="9" s="1"/>
  <c r="L7" i="9" s="1"/>
  <c r="L8" i="9" s="1"/>
  <c r="L9" i="9" s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24" i="9" s="1"/>
  <c r="L25" i="9" s="1"/>
  <c r="L26" i="9" s="1"/>
  <c r="L27" i="9" s="1"/>
  <c r="L28" i="9" s="1"/>
  <c r="L29" i="9" s="1"/>
  <c r="L30" i="9" s="1"/>
  <c r="L31" i="9" s="1"/>
  <c r="L32" i="9" s="1"/>
  <c r="L33" i="9" s="1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L47" i="9" s="1"/>
  <c r="L48" i="9" s="1"/>
  <c r="L49" i="9" s="1"/>
  <c r="L50" i="9" s="1"/>
  <c r="L51" i="9" s="1"/>
  <c r="L52" i="9" s="1"/>
  <c r="L53" i="9" s="1"/>
  <c r="L54" i="9" s="1"/>
  <c r="L55" i="9" s="1"/>
  <c r="L56" i="9" s="1"/>
  <c r="L57" i="9" s="1"/>
  <c r="L58" i="9" s="1"/>
  <c r="L59" i="9" s="1"/>
  <c r="L60" i="9" s="1"/>
  <c r="L61" i="9" s="1"/>
  <c r="L62" i="9" s="1"/>
  <c r="L63" i="9" s="1"/>
  <c r="L64" i="9" s="1"/>
  <c r="L65" i="9" s="1"/>
  <c r="L66" i="9" s="1"/>
  <c r="L67" i="9" s="1"/>
  <c r="L68" i="9" s="1"/>
  <c r="L69" i="9" s="1"/>
  <c r="L70" i="9" s="1"/>
  <c r="L71" i="9" s="1"/>
  <c r="L72" i="9" s="1"/>
  <c r="L73" i="9" s="1"/>
  <c r="L74" i="9" s="1"/>
  <c r="L75" i="9" s="1"/>
  <c r="L76" i="9" s="1"/>
  <c r="L77" i="9" s="1"/>
  <c r="L78" i="9" s="1"/>
  <c r="L79" i="9" s="1"/>
  <c r="L80" i="9" s="1"/>
  <c r="L81" i="9" s="1"/>
  <c r="L82" i="9" s="1"/>
  <c r="L83" i="9" s="1"/>
  <c r="L84" i="9" s="1"/>
  <c r="L85" i="9" s="1"/>
  <c r="L86" i="9" s="1"/>
  <c r="L87" i="9" s="1"/>
  <c r="L88" i="9" s="1"/>
  <c r="L89" i="9" s="1"/>
  <c r="L90" i="9" s="1"/>
  <c r="L91" i="9" s="1"/>
  <c r="L92" i="9" s="1"/>
  <c r="L93" i="9" s="1"/>
  <c r="L94" i="9" s="1"/>
  <c r="L95" i="9" s="1"/>
  <c r="L96" i="9" s="1"/>
  <c r="L97" i="9" s="1"/>
  <c r="L98" i="9" s="1"/>
  <c r="L99" i="9" s="1"/>
  <c r="L100" i="9" s="1"/>
  <c r="L101" i="9" s="1"/>
  <c r="L102" i="9" s="1"/>
  <c r="L103" i="9" s="1"/>
  <c r="K3" i="9"/>
  <c r="K5" i="9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K103" i="9" s="1"/>
  <c r="J3" i="9"/>
  <c r="J5" i="9"/>
  <c r="J6" i="9" s="1"/>
  <c r="J7" i="9" s="1"/>
  <c r="J8" i="9" s="1"/>
  <c r="J9" i="9" s="1"/>
  <c r="J10" i="9" s="1"/>
  <c r="J11" i="9" s="1"/>
  <c r="J12" i="9" s="1"/>
  <c r="J13" i="9" s="1"/>
  <c r="J14" i="9" s="1"/>
  <c r="J15" i="9" s="1"/>
  <c r="J16" i="9" s="1"/>
  <c r="J17" i="9" s="1"/>
  <c r="J18" i="9" s="1"/>
  <c r="J19" i="9" s="1"/>
  <c r="J20" i="9" s="1"/>
  <c r="J21" i="9" s="1"/>
  <c r="J22" i="9" s="1"/>
  <c r="J23" i="9" s="1"/>
  <c r="J24" i="9" s="1"/>
  <c r="J25" i="9" s="1"/>
  <c r="J26" i="9" s="1"/>
  <c r="J27" i="9" s="1"/>
  <c r="J28" i="9" s="1"/>
  <c r="J29" i="9" s="1"/>
  <c r="J30" i="9" s="1"/>
  <c r="J31" i="9" s="1"/>
  <c r="J32" i="9" s="1"/>
  <c r="J33" i="9" s="1"/>
  <c r="J34" i="9" s="1"/>
  <c r="J35" i="9" s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J46" i="9" s="1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J62" i="9" s="1"/>
  <c r="J63" i="9" s="1"/>
  <c r="J64" i="9" s="1"/>
  <c r="J65" i="9" s="1"/>
  <c r="J66" i="9" s="1"/>
  <c r="J67" i="9" s="1"/>
  <c r="J68" i="9" s="1"/>
  <c r="J69" i="9" s="1"/>
  <c r="J70" i="9" s="1"/>
  <c r="J71" i="9" s="1"/>
  <c r="J72" i="9" s="1"/>
  <c r="J73" i="9" s="1"/>
  <c r="J74" i="9" s="1"/>
  <c r="J75" i="9" s="1"/>
  <c r="J76" i="9" s="1"/>
  <c r="J77" i="9" s="1"/>
  <c r="J78" i="9" s="1"/>
  <c r="J79" i="9" s="1"/>
  <c r="J80" i="9" s="1"/>
  <c r="J81" i="9" s="1"/>
  <c r="J82" i="9" s="1"/>
  <c r="J83" i="9" s="1"/>
  <c r="J84" i="9" s="1"/>
  <c r="J85" i="9" s="1"/>
  <c r="J86" i="9" s="1"/>
  <c r="J87" i="9" s="1"/>
  <c r="J88" i="9" s="1"/>
  <c r="J89" i="9" s="1"/>
  <c r="J90" i="9" s="1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I3" i="9"/>
  <c r="I5" i="9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I63" i="9" s="1"/>
  <c r="I64" i="9" s="1"/>
  <c r="I65" i="9" s="1"/>
  <c r="I66" i="9" s="1"/>
  <c r="I67" i="9" s="1"/>
  <c r="I68" i="9" s="1"/>
  <c r="I69" i="9" s="1"/>
  <c r="I70" i="9" s="1"/>
  <c r="I71" i="9" s="1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I82" i="9" s="1"/>
  <c r="I83" i="9" s="1"/>
  <c r="I84" i="9" s="1"/>
  <c r="I85" i="9" s="1"/>
  <c r="I86" i="9" s="1"/>
  <c r="I87" i="9" s="1"/>
  <c r="I88" i="9" s="1"/>
  <c r="I89" i="9" s="1"/>
  <c r="I90" i="9" s="1"/>
  <c r="I91" i="9" s="1"/>
  <c r="I92" i="9" s="1"/>
  <c r="I93" i="9" s="1"/>
  <c r="I94" i="9" s="1"/>
  <c r="I95" i="9" s="1"/>
  <c r="I96" i="9" s="1"/>
  <c r="I97" i="9" s="1"/>
  <c r="I98" i="9" s="1"/>
  <c r="I99" i="9" s="1"/>
  <c r="I100" i="9" s="1"/>
  <c r="I101" i="9" s="1"/>
  <c r="I102" i="9" s="1"/>
  <c r="I103" i="9" s="1"/>
  <c r="D5" i="9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E5" i="9"/>
  <c r="E6" i="9" s="1"/>
  <c r="E7" i="9" s="1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F5" i="9"/>
  <c r="F6" i="9" s="1"/>
  <c r="F7" i="9" s="1"/>
  <c r="F8" i="9" s="1"/>
  <c r="F9" i="9" s="1"/>
  <c r="F10" i="9" s="1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M5" i="9"/>
  <c r="M6" i="9" s="1"/>
  <c r="M7" i="9" s="1"/>
  <c r="M8" i="9" s="1"/>
  <c r="M9" i="9" s="1"/>
  <c r="M10" i="9" s="1"/>
  <c r="M11" i="9" s="1"/>
  <c r="M12" i="9" s="1"/>
  <c r="M13" i="9" s="1"/>
  <c r="M14" i="9" s="1"/>
  <c r="M15" i="9" s="1"/>
  <c r="M16" i="9" s="1"/>
  <c r="M17" i="9" s="1"/>
  <c r="M18" i="9" s="1"/>
  <c r="M19" i="9" s="1"/>
  <c r="M20" i="9" s="1"/>
  <c r="M21" i="9" s="1"/>
  <c r="M22" i="9" s="1"/>
  <c r="M23" i="9" s="1"/>
  <c r="M24" i="9" s="1"/>
  <c r="M25" i="9" s="1"/>
  <c r="M26" i="9" s="1"/>
  <c r="M27" i="9" s="1"/>
  <c r="M28" i="9" s="1"/>
  <c r="M29" i="9" s="1"/>
  <c r="M30" i="9" s="1"/>
  <c r="M31" i="9" s="1"/>
  <c r="M32" i="9" s="1"/>
  <c r="M33" i="9" s="1"/>
  <c r="M34" i="9" s="1"/>
  <c r="M35" i="9" s="1"/>
  <c r="M36" i="9" s="1"/>
  <c r="M37" i="9" s="1"/>
  <c r="M38" i="9" s="1"/>
  <c r="M39" i="9" s="1"/>
  <c r="M40" i="9" s="1"/>
  <c r="M41" i="9" s="1"/>
  <c r="M42" i="9" s="1"/>
  <c r="M43" i="9" s="1"/>
  <c r="M44" i="9" s="1"/>
  <c r="M45" i="9" s="1"/>
  <c r="M46" i="9" s="1"/>
  <c r="M47" i="9" s="1"/>
  <c r="M48" i="9" s="1"/>
  <c r="M49" i="9" s="1"/>
  <c r="M50" i="9" s="1"/>
  <c r="M51" i="9" s="1"/>
  <c r="M52" i="9" s="1"/>
  <c r="M53" i="9" s="1"/>
  <c r="M54" i="9" s="1"/>
  <c r="M55" i="9" s="1"/>
  <c r="M56" i="9" s="1"/>
  <c r="M57" i="9" s="1"/>
  <c r="M58" i="9" s="1"/>
  <c r="M59" i="9" s="1"/>
  <c r="M60" i="9" s="1"/>
  <c r="M61" i="9" s="1"/>
  <c r="M62" i="9" s="1"/>
  <c r="M63" i="9" s="1"/>
  <c r="M64" i="9" s="1"/>
  <c r="M65" i="9" s="1"/>
  <c r="M66" i="9" s="1"/>
  <c r="M67" i="9" s="1"/>
  <c r="M68" i="9" s="1"/>
  <c r="M69" i="9" s="1"/>
  <c r="M70" i="9" s="1"/>
  <c r="M71" i="9" s="1"/>
  <c r="M72" i="9" s="1"/>
  <c r="M73" i="9" s="1"/>
  <c r="M74" i="9" s="1"/>
  <c r="M75" i="9" s="1"/>
  <c r="M76" i="9" s="1"/>
  <c r="M77" i="9" s="1"/>
  <c r="M78" i="9" s="1"/>
  <c r="M79" i="9" s="1"/>
  <c r="M80" i="9" s="1"/>
  <c r="M81" i="9" s="1"/>
  <c r="M82" i="9" s="1"/>
  <c r="M83" i="9" s="1"/>
  <c r="M84" i="9" s="1"/>
  <c r="M85" i="9" s="1"/>
  <c r="M86" i="9" s="1"/>
  <c r="M87" i="9" s="1"/>
  <c r="M88" i="9" s="1"/>
  <c r="M89" i="9" s="1"/>
  <c r="M90" i="9" s="1"/>
  <c r="M91" i="9" s="1"/>
  <c r="M92" i="9" s="1"/>
  <c r="M93" i="9" s="1"/>
  <c r="M94" i="9" s="1"/>
  <c r="M95" i="9" s="1"/>
  <c r="M96" i="9" s="1"/>
  <c r="M97" i="9" s="1"/>
  <c r="M98" i="9" s="1"/>
  <c r="M99" i="9" s="1"/>
  <c r="M100" i="9" s="1"/>
  <c r="M101" i="9" s="1"/>
  <c r="M102" i="9" s="1"/>
  <c r="M103" i="9" s="1"/>
  <c r="S5" i="9"/>
  <c r="S6" i="9" s="1"/>
  <c r="S7" i="9" s="1"/>
  <c r="S8" i="9" s="1"/>
  <c r="S9" i="9" s="1"/>
  <c r="S10" i="9" s="1"/>
  <c r="S11" i="9" s="1"/>
  <c r="S12" i="9" s="1"/>
  <c r="S13" i="9" s="1"/>
  <c r="S14" i="9" s="1"/>
  <c r="S15" i="9" s="1"/>
  <c r="S16" i="9" s="1"/>
  <c r="S17" i="9" s="1"/>
  <c r="S18" i="9" s="1"/>
  <c r="S19" i="9" s="1"/>
  <c r="S20" i="9" s="1"/>
  <c r="S21" i="9" s="1"/>
  <c r="S22" i="9" s="1"/>
  <c r="S23" i="9" s="1"/>
  <c r="S24" i="9" s="1"/>
  <c r="S25" i="9" s="1"/>
  <c r="S26" i="9" s="1"/>
  <c r="S27" i="9" s="1"/>
  <c r="S28" i="9" s="1"/>
  <c r="S29" i="9" s="1"/>
  <c r="S30" i="9" s="1"/>
  <c r="S31" i="9" s="1"/>
  <c r="S32" i="9" s="1"/>
  <c r="S33" i="9" s="1"/>
  <c r="S34" i="9" s="1"/>
  <c r="S35" i="9" s="1"/>
  <c r="S36" i="9" s="1"/>
  <c r="S37" i="9" s="1"/>
  <c r="S38" i="9" s="1"/>
  <c r="S39" i="9" s="1"/>
  <c r="S40" i="9" s="1"/>
  <c r="S41" i="9" s="1"/>
  <c r="S42" i="9" s="1"/>
  <c r="S43" i="9" s="1"/>
  <c r="S44" i="9" s="1"/>
  <c r="S45" i="9" s="1"/>
  <c r="S46" i="9" s="1"/>
  <c r="S47" i="9" s="1"/>
  <c r="S48" i="9" s="1"/>
  <c r="S49" i="9" s="1"/>
  <c r="S50" i="9" s="1"/>
  <c r="S51" i="9" s="1"/>
  <c r="S52" i="9" s="1"/>
  <c r="S53" i="9" s="1"/>
  <c r="S54" i="9" s="1"/>
  <c r="S55" i="9" s="1"/>
  <c r="S56" i="9" s="1"/>
  <c r="S57" i="9" s="1"/>
  <c r="S58" i="9" s="1"/>
  <c r="S59" i="9" s="1"/>
  <c r="S60" i="9" s="1"/>
  <c r="S61" i="9" s="1"/>
  <c r="S62" i="9" s="1"/>
  <c r="S63" i="9" s="1"/>
  <c r="S64" i="9" s="1"/>
  <c r="S65" i="9" s="1"/>
  <c r="S66" i="9" s="1"/>
  <c r="S67" i="9" s="1"/>
  <c r="S68" i="9" s="1"/>
  <c r="S69" i="9" s="1"/>
  <c r="S70" i="9" s="1"/>
  <c r="S71" i="9" s="1"/>
  <c r="S72" i="9" s="1"/>
  <c r="S73" i="9" s="1"/>
  <c r="S74" i="9" s="1"/>
  <c r="S75" i="9" s="1"/>
  <c r="S76" i="9" s="1"/>
  <c r="S77" i="9" s="1"/>
  <c r="S78" i="9" s="1"/>
  <c r="S79" i="9" s="1"/>
  <c r="S80" i="9" s="1"/>
  <c r="S81" i="9" s="1"/>
  <c r="S82" i="9" s="1"/>
  <c r="S83" i="9" s="1"/>
  <c r="S84" i="9" s="1"/>
  <c r="S85" i="9" s="1"/>
  <c r="S86" i="9" s="1"/>
  <c r="S87" i="9" s="1"/>
  <c r="S88" i="9" s="1"/>
  <c r="S89" i="9" s="1"/>
  <c r="S90" i="9" s="1"/>
  <c r="S91" i="9" s="1"/>
  <c r="S92" i="9" s="1"/>
  <c r="S93" i="9" s="1"/>
  <c r="S94" i="9" s="1"/>
  <c r="S95" i="9" s="1"/>
  <c r="S96" i="9" s="1"/>
  <c r="S97" i="9" s="1"/>
  <c r="S98" i="9" s="1"/>
  <c r="S99" i="9" s="1"/>
  <c r="S100" i="9" s="1"/>
  <c r="S101" i="9" s="1"/>
  <c r="S102" i="9" s="1"/>
  <c r="S103" i="9" s="1"/>
  <c r="R5" i="9"/>
  <c r="R6" i="9" s="1"/>
  <c r="R7" i="9" s="1"/>
  <c r="R8" i="9" s="1"/>
  <c r="R9" i="9" s="1"/>
  <c r="R10" i="9" s="1"/>
  <c r="R11" i="9" s="1"/>
  <c r="R12" i="9" s="1"/>
  <c r="R13" i="9" s="1"/>
  <c r="R14" i="9" s="1"/>
  <c r="R15" i="9" s="1"/>
  <c r="R16" i="9" s="1"/>
  <c r="R17" i="9" s="1"/>
  <c r="R18" i="9" s="1"/>
  <c r="R19" i="9" s="1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R31" i="9" s="1"/>
  <c r="R32" i="9" s="1"/>
  <c r="R33" i="9" s="1"/>
  <c r="R34" i="9" s="1"/>
  <c r="R35" i="9" s="1"/>
  <c r="R36" i="9" s="1"/>
  <c r="R37" i="9" s="1"/>
  <c r="R38" i="9" s="1"/>
  <c r="R39" i="9" s="1"/>
  <c r="R40" i="9" s="1"/>
  <c r="R41" i="9" s="1"/>
  <c r="R42" i="9" s="1"/>
  <c r="R43" i="9" s="1"/>
  <c r="R44" i="9" s="1"/>
  <c r="R45" i="9" s="1"/>
  <c r="R46" i="9" s="1"/>
  <c r="R47" i="9" s="1"/>
  <c r="R48" i="9" s="1"/>
  <c r="R49" i="9" s="1"/>
  <c r="R50" i="9" s="1"/>
  <c r="R51" i="9" s="1"/>
  <c r="R52" i="9" s="1"/>
  <c r="R53" i="9" s="1"/>
  <c r="R54" i="9" s="1"/>
  <c r="R55" i="9" s="1"/>
  <c r="R56" i="9" s="1"/>
  <c r="R57" i="9" s="1"/>
  <c r="R58" i="9" s="1"/>
  <c r="R59" i="9" s="1"/>
  <c r="R60" i="9" s="1"/>
  <c r="R61" i="9" s="1"/>
  <c r="R62" i="9" s="1"/>
  <c r="R63" i="9" s="1"/>
  <c r="R64" i="9" s="1"/>
  <c r="R65" i="9" s="1"/>
  <c r="R66" i="9" s="1"/>
  <c r="R67" i="9" s="1"/>
  <c r="R68" i="9" s="1"/>
  <c r="R69" i="9" s="1"/>
  <c r="R70" i="9" s="1"/>
  <c r="R71" i="9" s="1"/>
  <c r="R72" i="9" s="1"/>
  <c r="R73" i="9" s="1"/>
  <c r="R74" i="9" s="1"/>
  <c r="R75" i="9" s="1"/>
  <c r="R76" i="9" s="1"/>
  <c r="R77" i="9" s="1"/>
  <c r="R78" i="9" s="1"/>
  <c r="R79" i="9" s="1"/>
  <c r="R80" i="9" s="1"/>
  <c r="R81" i="9" s="1"/>
  <c r="R82" i="9" s="1"/>
  <c r="R83" i="9" s="1"/>
  <c r="R84" i="9" s="1"/>
  <c r="R85" i="9" s="1"/>
  <c r="R86" i="9" s="1"/>
  <c r="R87" i="9" s="1"/>
  <c r="R88" i="9" s="1"/>
  <c r="R89" i="9" s="1"/>
  <c r="R90" i="9" s="1"/>
  <c r="R91" i="9" s="1"/>
  <c r="R92" i="9" s="1"/>
  <c r="R93" i="9" s="1"/>
  <c r="R94" i="9" s="1"/>
  <c r="R95" i="9" s="1"/>
  <c r="R96" i="9" s="1"/>
  <c r="R97" i="9" s="1"/>
  <c r="R98" i="9" s="1"/>
  <c r="R99" i="9" s="1"/>
  <c r="R100" i="9" s="1"/>
  <c r="R101" i="9" s="1"/>
  <c r="R102" i="9" s="1"/>
  <c r="R103" i="9" s="1"/>
  <c r="Q5" i="9"/>
  <c r="Q6" i="9" s="1"/>
  <c r="Q7" i="9" s="1"/>
  <c r="Q8" i="9" s="1"/>
  <c r="Q9" i="9" s="1"/>
  <c r="Q10" i="9" s="1"/>
  <c r="Q11" i="9" s="1"/>
  <c r="Q12" i="9" s="1"/>
  <c r="Q13" i="9" s="1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P5" i="9"/>
  <c r="P6" i="9" s="1"/>
  <c r="P7" i="9" s="1"/>
  <c r="P8" i="9" s="1"/>
  <c r="P9" i="9" s="1"/>
  <c r="P10" i="9" s="1"/>
  <c r="P11" i="9" s="1"/>
  <c r="P12" i="9" s="1"/>
  <c r="P13" i="9" s="1"/>
  <c r="P14" i="9" s="1"/>
  <c r="P15" i="9" s="1"/>
  <c r="P16" i="9" s="1"/>
  <c r="P17" i="9" s="1"/>
  <c r="P18" i="9" s="1"/>
  <c r="P19" i="9" s="1"/>
  <c r="P20" i="9" s="1"/>
  <c r="P21" i="9" s="1"/>
  <c r="P22" i="9" s="1"/>
  <c r="P23" i="9" s="1"/>
  <c r="P24" i="9" s="1"/>
  <c r="P25" i="9" s="1"/>
  <c r="P26" i="9" s="1"/>
  <c r="P27" i="9" s="1"/>
  <c r="P28" i="9" s="1"/>
  <c r="P29" i="9" s="1"/>
  <c r="P30" i="9" s="1"/>
  <c r="P31" i="9" s="1"/>
  <c r="P32" i="9" s="1"/>
  <c r="P33" i="9" s="1"/>
  <c r="P34" i="9" s="1"/>
  <c r="P35" i="9" s="1"/>
  <c r="P36" i="9" s="1"/>
  <c r="P37" i="9" s="1"/>
  <c r="P38" i="9" s="1"/>
  <c r="P39" i="9" s="1"/>
  <c r="P40" i="9" s="1"/>
  <c r="P41" i="9" s="1"/>
  <c r="P42" i="9" s="1"/>
  <c r="P43" i="9" s="1"/>
  <c r="P44" i="9" s="1"/>
  <c r="P45" i="9" s="1"/>
  <c r="P46" i="9" s="1"/>
  <c r="P47" i="9" s="1"/>
  <c r="P48" i="9" s="1"/>
  <c r="P49" i="9" s="1"/>
  <c r="P50" i="9" s="1"/>
  <c r="P51" i="9" s="1"/>
  <c r="P52" i="9" s="1"/>
  <c r="P53" i="9" s="1"/>
  <c r="P54" i="9" s="1"/>
  <c r="P55" i="9" s="1"/>
  <c r="P56" i="9" s="1"/>
  <c r="P57" i="9" s="1"/>
  <c r="P58" i="9" s="1"/>
  <c r="P59" i="9" s="1"/>
  <c r="P60" i="9" s="1"/>
  <c r="P61" i="9" s="1"/>
  <c r="P62" i="9" s="1"/>
  <c r="P63" i="9" s="1"/>
  <c r="P64" i="9" s="1"/>
  <c r="P65" i="9" s="1"/>
  <c r="P66" i="9" s="1"/>
  <c r="P67" i="9" s="1"/>
  <c r="P68" i="9" s="1"/>
  <c r="P69" i="9" s="1"/>
  <c r="P70" i="9" s="1"/>
  <c r="P71" i="9" s="1"/>
  <c r="P72" i="9" s="1"/>
  <c r="P73" i="9" s="1"/>
  <c r="P74" i="9" s="1"/>
  <c r="P75" i="9" s="1"/>
  <c r="P76" i="9" s="1"/>
  <c r="P77" i="9" s="1"/>
  <c r="P78" i="9" s="1"/>
  <c r="P79" i="9" s="1"/>
  <c r="P80" i="9" s="1"/>
  <c r="P81" i="9" s="1"/>
  <c r="P82" i="9" s="1"/>
  <c r="P83" i="9" s="1"/>
  <c r="P84" i="9" s="1"/>
  <c r="P85" i="9" s="1"/>
  <c r="P86" i="9" s="1"/>
  <c r="P87" i="9" s="1"/>
  <c r="P88" i="9" s="1"/>
  <c r="P89" i="9" s="1"/>
  <c r="P90" i="9" s="1"/>
  <c r="P91" i="9" s="1"/>
  <c r="P92" i="9" s="1"/>
  <c r="P93" i="9" s="1"/>
  <c r="P94" i="9" s="1"/>
  <c r="P95" i="9" s="1"/>
  <c r="P96" i="9" s="1"/>
  <c r="P97" i="9" s="1"/>
  <c r="P98" i="9" s="1"/>
  <c r="P99" i="9" s="1"/>
  <c r="P100" i="9" s="1"/>
  <c r="P101" i="9" s="1"/>
  <c r="P102" i="9" s="1"/>
  <c r="P103" i="9" s="1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O32" i="9"/>
  <c r="O33" i="9" s="1"/>
  <c r="O34" i="9" s="1"/>
  <c r="O35" i="9" s="1"/>
  <c r="O36" i="9" s="1"/>
  <c r="O37" i="9" s="1"/>
  <c r="O38" i="9" s="1"/>
  <c r="O39" i="9" s="1"/>
  <c r="O40" i="9" s="1"/>
  <c r="O41" i="9" s="1"/>
  <c r="O42" i="9" s="1"/>
  <c r="O43" i="9" s="1"/>
  <c r="O44" i="9" s="1"/>
  <c r="O45" i="9" s="1"/>
  <c r="O46" i="9" s="1"/>
  <c r="O47" i="9" s="1"/>
  <c r="O48" i="9" s="1"/>
  <c r="O49" i="9" s="1"/>
  <c r="O50" i="9" s="1"/>
  <c r="O51" i="9" s="1"/>
  <c r="O52" i="9" s="1"/>
  <c r="O53" i="9" s="1"/>
  <c r="O54" i="9" s="1"/>
  <c r="O55" i="9" s="1"/>
  <c r="O56" i="9" s="1"/>
  <c r="O57" i="9" s="1"/>
  <c r="O58" i="9" s="1"/>
  <c r="O59" i="9" s="1"/>
  <c r="O60" i="9" s="1"/>
  <c r="O61" i="9" s="1"/>
  <c r="O62" i="9" s="1"/>
  <c r="O63" i="9" s="1"/>
  <c r="O64" i="9" s="1"/>
  <c r="O65" i="9" s="1"/>
  <c r="O66" i="9" s="1"/>
  <c r="O67" i="9" s="1"/>
  <c r="O68" i="9" s="1"/>
  <c r="O69" i="9" s="1"/>
  <c r="O70" i="9" s="1"/>
  <c r="O71" i="9" s="1"/>
  <c r="O72" i="9" s="1"/>
  <c r="O73" i="9" s="1"/>
  <c r="O74" i="9" s="1"/>
  <c r="O75" i="9" s="1"/>
  <c r="O76" i="9" s="1"/>
  <c r="O77" i="9" s="1"/>
  <c r="O78" i="9" s="1"/>
  <c r="O79" i="9" s="1"/>
  <c r="O80" i="9" s="1"/>
  <c r="O81" i="9" s="1"/>
  <c r="O82" i="9" s="1"/>
  <c r="O83" i="9" s="1"/>
  <c r="O84" i="9" s="1"/>
  <c r="O85" i="9" s="1"/>
  <c r="O86" i="9" s="1"/>
  <c r="O87" i="9" s="1"/>
  <c r="O88" i="9" s="1"/>
  <c r="O89" i="9" s="1"/>
  <c r="O90" i="9" s="1"/>
  <c r="O91" i="9" s="1"/>
  <c r="O92" i="9" s="1"/>
  <c r="O93" i="9" s="1"/>
  <c r="O94" i="9" s="1"/>
  <c r="O95" i="9" s="1"/>
  <c r="O96" i="9" s="1"/>
  <c r="O97" i="9" s="1"/>
  <c r="O98" i="9" s="1"/>
  <c r="O99" i="9" s="1"/>
  <c r="O100" i="9" s="1"/>
  <c r="O101" i="9" s="1"/>
  <c r="O102" i="9" s="1"/>
  <c r="O103" i="9" s="1"/>
  <c r="B5" i="9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G5" i="9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G101" i="9" s="1"/>
  <c r="G102" i="9" s="1"/>
  <c r="G103" i="9" s="1"/>
  <c r="H5" i="9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</calcChain>
</file>

<file path=xl/sharedStrings.xml><?xml version="1.0" encoding="utf-8"?>
<sst xmlns="http://schemas.openxmlformats.org/spreadsheetml/2006/main" count="12229" uniqueCount="3270">
  <si>
    <t>Siemens_Détecteur_Fumée</t>
  </si>
  <si>
    <t>Siemens_Déclencheur_Manuel</t>
  </si>
  <si>
    <t>Siemens_Dispositif_Entrée_Sortie</t>
  </si>
  <si>
    <t>Siemens_Indicateur_d_action</t>
  </si>
  <si>
    <t>Siemens_Détecteur_Fumée_Fx-Plafond</t>
  </si>
  <si>
    <t>Siemens_Détecteur_Linéaire_Fumée</t>
  </si>
  <si>
    <t>Siemens_Indicateur_d_action_adressable</t>
  </si>
  <si>
    <t>Nom du bloc</t>
  </si>
  <si>
    <t>Site</t>
  </si>
  <si>
    <t>Section</t>
  </si>
  <si>
    <t>Zone</t>
  </si>
  <si>
    <t>Groupe</t>
  </si>
  <si>
    <t>Siemens_Détecteur_Fumée_Fx-Plancher</t>
  </si>
  <si>
    <t>Siemens_Passerelle_Radio</t>
  </si>
  <si>
    <t>Ligne</t>
  </si>
  <si>
    <t>Appareil</t>
  </si>
  <si>
    <t>ID</t>
  </si>
  <si>
    <t>Paramètre</t>
  </si>
  <si>
    <t>Siemens_Détecteur_Fumée_avec_composants-radio</t>
  </si>
  <si>
    <t>Siemens_Réflecteur_Linéaire_Fumée</t>
  </si>
  <si>
    <t>Siemens_Détecteur_Chaleur</t>
  </si>
  <si>
    <t>Siemens_Détecteur_Multicritère</t>
  </si>
  <si>
    <t>Siemens_Détecteur_Multicritère_Fx-Plancher</t>
  </si>
  <si>
    <t>Siemens_Détecteur_Multicritère_Fx-Plafond</t>
  </si>
  <si>
    <t>Siemens_Détecteur_Flamme</t>
  </si>
  <si>
    <t>Siemens_Déclencheur_Manuel_avec_Composants-radio</t>
  </si>
  <si>
    <t>Siemens_Détection_Prélèvement d'air</t>
  </si>
  <si>
    <t>FDMxx</t>
  </si>
  <si>
    <t>FDCxx</t>
  </si>
  <si>
    <t>Color</t>
  </si>
  <si>
    <t>FDxx</t>
  </si>
  <si>
    <t>Blocs Siemens</t>
  </si>
  <si>
    <t>Combinaisons</t>
  </si>
  <si>
    <t>ZO_ID</t>
  </si>
  <si>
    <t>Handle</t>
  </si>
  <si>
    <t>Élévation</t>
  </si>
  <si>
    <t>Onglet</t>
  </si>
  <si>
    <t>Élément</t>
  </si>
  <si>
    <t>NEW</t>
  </si>
  <si>
    <t>Projet</t>
  </si>
  <si>
    <t>1er sous-sol</t>
  </si>
  <si>
    <t>Type de bloc</t>
  </si>
  <si>
    <t>Rez</t>
  </si>
  <si>
    <t>Cartouche</t>
  </si>
  <si>
    <t>🔒</t>
  </si>
  <si>
    <t>🔓</t>
  </si>
  <si>
    <t>Équipement :</t>
  </si>
  <si>
    <t>Client :</t>
  </si>
  <si>
    <t>Adresse :</t>
  </si>
  <si>
    <t>Système :</t>
  </si>
  <si>
    <t>Dossier :</t>
  </si>
  <si>
    <t>Date :</t>
  </si>
  <si>
    <t>Dessinateur :</t>
  </si>
  <si>
    <t>Emplacement :</t>
  </si>
  <si>
    <t>🔥</t>
  </si>
  <si>
    <t>2e sous-sol</t>
  </si>
  <si>
    <t>3e sous-sol</t>
  </si>
  <si>
    <t>4e sous-sol</t>
  </si>
  <si>
    <t>5e sous-sol</t>
  </si>
  <si>
    <t>6e sous-sol</t>
  </si>
  <si>
    <t>7e sous-sol</t>
  </si>
  <si>
    <t>8e sous-sol</t>
  </si>
  <si>
    <t>9e sous-sol</t>
  </si>
  <si>
    <t>9e étage</t>
  </si>
  <si>
    <t>8e étage</t>
  </si>
  <si>
    <t>7e étage</t>
  </si>
  <si>
    <t>6e étage</t>
  </si>
  <si>
    <t>5e étage</t>
  </si>
  <si>
    <t>4e étage</t>
  </si>
  <si>
    <t>3e étage</t>
  </si>
  <si>
    <t>2e étage</t>
  </si>
  <si>
    <t>NIV -10</t>
  </si>
  <si>
    <t>NIV -9</t>
  </si>
  <si>
    <t>NIV -8</t>
  </si>
  <si>
    <t>NIV -7</t>
  </si>
  <si>
    <t>NIV -6</t>
  </si>
  <si>
    <t>NIV -5</t>
  </si>
  <si>
    <t>NIV -4</t>
  </si>
  <si>
    <t>NIV -3</t>
  </si>
  <si>
    <t>NIV -2</t>
  </si>
  <si>
    <t>NIV -1</t>
  </si>
  <si>
    <t>NIV 0</t>
  </si>
  <si>
    <t>NIV 1</t>
  </si>
  <si>
    <t>NIV 2</t>
  </si>
  <si>
    <t>NIV 3</t>
  </si>
  <si>
    <t>NIV 4</t>
  </si>
  <si>
    <t>NIV 5</t>
  </si>
  <si>
    <t>NIV 6</t>
  </si>
  <si>
    <t>NIV 7</t>
  </si>
  <si>
    <t>NIV 8</t>
  </si>
  <si>
    <t>NIV 9</t>
  </si>
  <si>
    <t>Cadre</t>
  </si>
  <si>
    <r>
      <t>Effectuer une lecture des onglets actuels ([</t>
    </r>
    <r>
      <rPr>
        <b/>
        <sz val="11"/>
        <color theme="1"/>
        <rFont val="Aptos Narrow"/>
        <family val="2"/>
        <scheme val="minor"/>
      </rPr>
      <t>Read TAB</t>
    </r>
    <r>
      <rPr>
        <sz val="11"/>
        <color theme="1"/>
        <rFont val="Aptos Narrow"/>
        <family val="2"/>
        <scheme val="minor"/>
      </rPr>
      <t>])</t>
    </r>
  </si>
  <si>
    <t>Définitions :</t>
  </si>
  <si>
    <t>Frame :</t>
  </si>
  <si>
    <t>Cadre, placé sur le layer "SIEMENS_SANS" et avec une élévation liée à l'étage</t>
  </si>
  <si>
    <t>ACT</t>
  </si>
  <si>
    <r>
      <t xml:space="preserve">Vérifier que les </t>
    </r>
    <r>
      <rPr>
        <b/>
        <sz val="11"/>
        <color theme="1"/>
        <rFont val="Aptos Narrow"/>
        <family val="2"/>
        <scheme val="minor"/>
      </rPr>
      <t>Onglets</t>
    </r>
    <r>
      <rPr>
        <sz val="11"/>
        <color theme="1"/>
        <rFont val="Aptos Narrow"/>
        <family val="2"/>
        <scheme val="minor"/>
      </rPr>
      <t xml:space="preserve"> existent dans AutoCAD (ACT) (</t>
    </r>
    <r>
      <rPr>
        <b/>
        <sz val="11"/>
        <color rgb="FFFFC000"/>
        <rFont val="Aptos Narrow"/>
        <family val="2"/>
        <scheme val="minor"/>
      </rPr>
      <t>orange</t>
    </r>
    <r>
      <rPr>
        <sz val="11"/>
        <color theme="1"/>
        <rFont val="Aptos Narrow"/>
        <family val="2"/>
        <scheme val="minor"/>
      </rPr>
      <t>)</t>
    </r>
  </si>
  <si>
    <r>
      <t xml:space="preserve"> &gt; Si non, adapter la colonne </t>
    </r>
    <r>
      <rPr>
        <b/>
        <sz val="11"/>
        <color theme="1"/>
        <rFont val="Aptos Narrow"/>
        <family val="2"/>
        <scheme val="minor"/>
      </rPr>
      <t>NEW</t>
    </r>
    <r>
      <rPr>
        <sz val="11"/>
        <color theme="1"/>
        <rFont val="Aptos Narrow"/>
        <family val="2"/>
        <scheme val="minor"/>
      </rPr>
      <t xml:space="preserve"> et actualiser les onglets ([</t>
    </r>
    <r>
      <rPr>
        <b/>
        <sz val="11"/>
        <color theme="1"/>
        <rFont val="Aptos Narrow"/>
        <family val="2"/>
        <scheme val="minor"/>
      </rPr>
      <t>Update TAB</t>
    </r>
    <r>
      <rPr>
        <sz val="11"/>
        <color theme="1"/>
        <rFont val="Aptos Narrow"/>
        <family val="2"/>
        <scheme val="minor"/>
      </rPr>
      <t>])</t>
    </r>
  </si>
  <si>
    <r>
      <t xml:space="preserve">Vérifier que les </t>
    </r>
    <r>
      <rPr>
        <b/>
        <sz val="11"/>
        <color theme="1"/>
        <rFont val="Aptos Narrow"/>
        <family val="2"/>
        <scheme val="minor"/>
      </rPr>
      <t>Onglets</t>
    </r>
    <r>
      <rPr>
        <sz val="11"/>
        <color theme="1"/>
        <rFont val="Aptos Narrow"/>
        <family val="2"/>
        <scheme val="minor"/>
      </rPr>
      <t xml:space="preserve"> aient le bon nom dans AutoCAD (</t>
    </r>
    <r>
      <rPr>
        <b/>
        <sz val="11"/>
        <color theme="1"/>
        <rFont val="Aptos Narrow"/>
        <family val="2"/>
        <scheme val="minor"/>
      </rPr>
      <t>NEW</t>
    </r>
    <r>
      <rPr>
        <sz val="11"/>
        <color theme="1"/>
        <rFont val="Aptos Narrow"/>
        <family val="2"/>
        <scheme val="minor"/>
      </rPr>
      <t>) (</t>
    </r>
    <r>
      <rPr>
        <b/>
        <sz val="11"/>
        <color rgb="FFFFC000"/>
        <rFont val="Aptos Narrow"/>
        <family val="2"/>
        <scheme val="minor"/>
      </rPr>
      <t>orange</t>
    </r>
    <r>
      <rPr>
        <sz val="11"/>
        <color theme="1"/>
        <rFont val="Aptos Narrow"/>
        <family val="2"/>
        <scheme val="minor"/>
      </rPr>
      <t>)</t>
    </r>
  </si>
  <si>
    <t xml:space="preserve">      🔓</t>
  </si>
  <si>
    <t>STEP 1</t>
  </si>
  <si>
    <r>
      <t>Compléter les</t>
    </r>
    <r>
      <rPr>
        <b/>
        <sz val="11"/>
        <color theme="1"/>
        <rFont val="Aptos Narrow"/>
        <family val="2"/>
        <scheme val="minor"/>
      </rPr>
      <t xml:space="preserve"> Informations générales</t>
    </r>
  </si>
  <si>
    <r>
      <t xml:space="preserve">Définir la </t>
    </r>
    <r>
      <rPr>
        <b/>
        <sz val="11"/>
        <color theme="1"/>
        <rFont val="Aptos Narrow"/>
        <family val="2"/>
        <scheme val="minor"/>
      </rPr>
      <t xml:space="preserve">structure des niveaux du projet </t>
    </r>
    <r>
      <rPr>
        <sz val="11"/>
        <color theme="1"/>
        <rFont val="Aptos Narrow"/>
        <family val="2"/>
        <scheme val="minor"/>
      </rPr>
      <t>(étages du projet, nom onglet et cartouche)</t>
    </r>
  </si>
  <si>
    <t>Groupes utilisés</t>
  </si>
  <si>
    <t>Bâtiment</t>
  </si>
  <si>
    <t>SS / HS</t>
  </si>
  <si>
    <t>Étage</t>
  </si>
  <si>
    <t>De</t>
  </si>
  <si>
    <t>À</t>
  </si>
  <si>
    <t/>
  </si>
  <si>
    <t>Nouveau projet</t>
  </si>
  <si>
    <r>
      <t>Insérer les cadres d'étages dans AutoCAD pour chaque niveau (</t>
    </r>
    <r>
      <rPr>
        <sz val="11"/>
        <color rgb="FF0070C0"/>
        <rFont val="Aptos Narrow"/>
        <family val="2"/>
        <scheme val="minor"/>
      </rPr>
      <t>[</t>
    </r>
    <r>
      <rPr>
        <b/>
        <sz val="11"/>
        <color rgb="FF0070C0"/>
        <rFont val="Aptos Narrow"/>
        <family val="2"/>
        <scheme val="minor"/>
      </rPr>
      <t>Frames</t>
    </r>
    <r>
      <rPr>
        <sz val="11"/>
        <color rgb="FF0070C0"/>
        <rFont val="Aptos Narrow"/>
        <family val="2"/>
        <scheme val="minor"/>
      </rPr>
      <t>]</t>
    </r>
    <r>
      <rPr>
        <sz val="11"/>
        <color theme="1"/>
        <rFont val="Aptos Narrow"/>
        <family val="2"/>
        <scheme val="minor"/>
      </rPr>
      <t>)</t>
    </r>
  </si>
  <si>
    <r>
      <t>Actualiser les cartouches des onglets (</t>
    </r>
    <r>
      <rPr>
        <b/>
        <sz val="11"/>
        <color theme="1"/>
        <rFont val="Aptos Narrow"/>
        <family val="2"/>
        <scheme val="minor"/>
      </rPr>
      <t>[Update TAB]</t>
    </r>
    <r>
      <rPr>
        <sz val="11"/>
        <color theme="1"/>
        <rFont val="Aptos Narrow"/>
        <family val="2"/>
        <scheme val="minor"/>
      </rPr>
      <t>)</t>
    </r>
  </si>
  <si>
    <r>
      <t>Effectuer une lecture de la structure actuelle ([</t>
    </r>
    <r>
      <rPr>
        <b/>
        <sz val="11"/>
        <color theme="1"/>
        <rFont val="Aptos Narrow"/>
        <family val="2"/>
        <scheme val="minor"/>
      </rPr>
      <t>Read Frame</t>
    </r>
    <r>
      <rPr>
        <sz val="11"/>
        <color theme="1"/>
        <rFont val="Aptos Narrow"/>
        <family val="2"/>
        <scheme val="minor"/>
      </rPr>
      <t>])</t>
    </r>
  </si>
  <si>
    <r>
      <t>Effectuer une lecture des informations générales ([</t>
    </r>
    <r>
      <rPr>
        <b/>
        <sz val="11"/>
        <color theme="1"/>
        <rFont val="Aptos Narrow"/>
        <family val="2"/>
        <scheme val="minor"/>
      </rPr>
      <t>Read Title</t>
    </r>
    <r>
      <rPr>
        <sz val="11"/>
        <color theme="1"/>
        <rFont val="Aptos Narrow"/>
        <family val="2"/>
        <scheme val="minor"/>
      </rPr>
      <t>])</t>
    </r>
  </si>
  <si>
    <t>ou</t>
  </si>
  <si>
    <r>
      <t>Mettre à jour le zoom dans l'espace papier ([</t>
    </r>
    <r>
      <rPr>
        <b/>
        <sz val="11"/>
        <color theme="1"/>
        <rFont val="Aptos Narrow"/>
        <family val="2"/>
        <scheme val="minor"/>
      </rPr>
      <t>SET Zoom</t>
    </r>
    <r>
      <rPr>
        <sz val="11"/>
        <color theme="1"/>
        <rFont val="Aptos Narrow"/>
        <family val="2"/>
        <scheme val="minor"/>
      </rPr>
      <t>])</t>
    </r>
  </si>
  <si>
    <r>
      <t>Effectuer les 4 étapes ci-dessus en un clic (</t>
    </r>
    <r>
      <rPr>
        <sz val="11"/>
        <color rgb="FF83E28E"/>
        <rFont val="Aptos Narrow"/>
        <family val="2"/>
        <scheme val="minor"/>
      </rPr>
      <t>[</t>
    </r>
    <r>
      <rPr>
        <b/>
        <sz val="11"/>
        <color rgb="FF83E28E"/>
        <rFont val="Aptos Narrow"/>
        <family val="2"/>
        <scheme val="minor"/>
      </rPr>
      <t>Read All</t>
    </r>
    <r>
      <rPr>
        <sz val="11"/>
        <color rgb="FF83E28E"/>
        <rFont val="Aptos Narrow"/>
        <family val="2"/>
        <scheme val="minor"/>
      </rPr>
      <t>]</t>
    </r>
    <r>
      <rPr>
        <sz val="11"/>
        <rFont val="Aptos Narrow"/>
        <family val="2"/>
        <scheme val="minor"/>
      </rPr>
      <t>)</t>
    </r>
  </si>
  <si>
    <r>
      <t>Projet existant</t>
    </r>
    <r>
      <rPr>
        <sz val="11"/>
        <color theme="1"/>
        <rFont val="Aptos Narrow"/>
        <family val="2"/>
        <scheme val="minor"/>
      </rPr>
      <t xml:space="preserve"> (projet déjà traité avec Fire Install Helper)</t>
    </r>
  </si>
  <si>
    <r>
      <t>Structure des niveaux du projet</t>
    </r>
    <r>
      <rPr>
        <b/>
        <sz val="12"/>
        <color theme="1"/>
        <rFont val="Aptos Narrow"/>
        <family val="2"/>
        <scheme val="minor"/>
      </rPr>
      <t xml:space="preserve"> :</t>
    </r>
  </si>
  <si>
    <r>
      <t>Informations générales</t>
    </r>
    <r>
      <rPr>
        <b/>
        <sz val="12"/>
        <color theme="1"/>
        <rFont val="Aptos Narrow"/>
        <family val="2"/>
        <scheme val="minor"/>
      </rPr>
      <t xml:space="preserve"> :</t>
    </r>
  </si>
  <si>
    <r>
      <t>Procédure</t>
    </r>
    <r>
      <rPr>
        <b/>
        <sz val="12"/>
        <color theme="1"/>
        <rFont val="Aptos Narrow"/>
        <family val="2"/>
        <scheme val="minor"/>
      </rPr>
      <t xml:space="preserve"> :</t>
    </r>
  </si>
  <si>
    <r>
      <t>Aligner le texte des cadres ([</t>
    </r>
    <r>
      <rPr>
        <b/>
        <sz val="11"/>
        <color theme="1"/>
        <rFont val="Aptos Narrow"/>
        <family val="2"/>
        <scheme val="minor"/>
      </rPr>
      <t>Frame TXT</t>
    </r>
    <r>
      <rPr>
        <sz val="11"/>
        <color theme="1"/>
        <rFont val="Aptos Narrow"/>
        <family val="2"/>
        <scheme val="minor"/>
      </rPr>
      <t>])</t>
    </r>
  </si>
  <si>
    <r>
      <t>Affiner la taille des cadres (sans les textes) [</t>
    </r>
    <r>
      <rPr>
        <b/>
        <sz val="11"/>
        <color theme="1"/>
        <rFont val="Aptos Narrow"/>
        <family val="2"/>
        <scheme val="minor"/>
      </rPr>
      <t xml:space="preserve"> + </t>
    </r>
    <r>
      <rPr>
        <sz val="11"/>
        <color theme="1"/>
        <rFont val="Aptos Narrow"/>
        <family val="2"/>
        <scheme val="minor"/>
      </rPr>
      <t>] / [</t>
    </r>
    <r>
      <rPr>
        <b/>
        <sz val="11"/>
        <color theme="1"/>
        <rFont val="Aptos Narrow"/>
        <family val="2"/>
        <scheme val="minor"/>
      </rPr>
      <t xml:space="preserve"> - </t>
    </r>
    <r>
      <rPr>
        <sz val="11"/>
        <color theme="1"/>
        <rFont val="Aptos Narrow"/>
        <family val="2"/>
        <scheme val="minor"/>
      </rPr>
      <t>] et les positionner proprement</t>
    </r>
  </si>
  <si>
    <t xml:space="preserve"> &gt; Si non, dans AutoCAD, créer l'onglet (copier un onglet existant), reprendre au point 6</t>
  </si>
  <si>
    <r>
      <t xml:space="preserve">🔥 </t>
    </r>
    <r>
      <rPr>
        <b/>
        <sz val="13"/>
        <color theme="6" tint="-0.249977111117893"/>
        <rFont val="Aptos Narrow"/>
        <family val="2"/>
        <scheme val="minor"/>
      </rPr>
      <t>Fire Install Assistant   STEP 2</t>
    </r>
  </si>
  <si>
    <t>Fire Install Assistant</t>
  </si>
  <si>
    <t>Ne pas éditer ces champs</t>
  </si>
  <si>
    <t>Champ éditable</t>
  </si>
  <si>
    <t>TAG</t>
  </si>
  <si>
    <t>FDCAI221</t>
  </si>
  <si>
    <t>FDCW241</t>
  </si>
  <si>
    <t>1er</t>
  </si>
  <si>
    <t>Siemens_Alarme_Sonore_Feu</t>
  </si>
  <si>
    <t>FDSxx</t>
  </si>
  <si>
    <t>Siemens_Dispositif_visuel_sonore_alarme feu</t>
  </si>
  <si>
    <t>Handle txt; Xtxt ; Ytxt</t>
  </si>
  <si>
    <t>12DC8B</t>
  </si>
  <si>
    <t>12DC89</t>
  </si>
  <si>
    <t>12DC87</t>
  </si>
  <si>
    <t>12DC85</t>
  </si>
  <si>
    <t>12DC81</t>
  </si>
  <si>
    <t>12DC7F</t>
  </si>
  <si>
    <t>12DC7D</t>
  </si>
  <si>
    <t>12DC7B</t>
  </si>
  <si>
    <t>12DC79</t>
  </si>
  <si>
    <t>AAA</t>
  </si>
  <si>
    <t>AAB</t>
  </si>
  <si>
    <t>AAC</t>
  </si>
  <si>
    <t>AAD</t>
  </si>
  <si>
    <t>AAE</t>
  </si>
  <si>
    <t>AAF</t>
  </si>
  <si>
    <t>AAG</t>
  </si>
  <si>
    <t>AAH</t>
  </si>
  <si>
    <t>AAI</t>
  </si>
  <si>
    <t>AAJ</t>
  </si>
  <si>
    <t>AAK</t>
  </si>
  <si>
    <t>Total: 17576 / Restantes: 17564</t>
  </si>
  <si>
    <t>N° du site</t>
  </si>
  <si>
    <t>! Pour répartir les groupes, il faut les textes de zones</t>
  </si>
  <si>
    <t>Sous-sols</t>
  </si>
  <si>
    <t>Rez et étages</t>
  </si>
  <si>
    <t>Groupes verticaux</t>
  </si>
  <si>
    <t>(saisie manuelle)</t>
  </si>
  <si>
    <t>(saisie automatique)</t>
  </si>
  <si>
    <t>Groupes Sprinkler, extinction etc</t>
  </si>
  <si>
    <t>1 à 9</t>
  </si>
  <si>
    <t>FDS221</t>
  </si>
  <si>
    <t>02:0120:026</t>
  </si>
  <si>
    <t>27257D8</t>
  </si>
  <si>
    <t>61C2F0</t>
  </si>
  <si>
    <t>TAG1:Missing_TAG2:Missing_TAG3:Missing_TAG_END</t>
  </si>
  <si>
    <t>FDS224-W</t>
  </si>
  <si>
    <t>02:0110:047</t>
  </si>
  <si>
    <t>FDS224W</t>
  </si>
  <si>
    <t>940B266</t>
  </si>
  <si>
    <t>61C2DF</t>
  </si>
  <si>
    <t>02:0110:042</t>
  </si>
  <si>
    <t>940B2DC</t>
  </si>
  <si>
    <t>61C2CE</t>
  </si>
  <si>
    <t>01:0210:015</t>
  </si>
  <si>
    <t>94075B0</t>
  </si>
  <si>
    <t>61C2BD</t>
  </si>
  <si>
    <t>01:0210:010</t>
  </si>
  <si>
    <t>94075AE</t>
  </si>
  <si>
    <t>61C2AC</t>
  </si>
  <si>
    <t>01:0210:005</t>
  </si>
  <si>
    <t>940B277</t>
  </si>
  <si>
    <t>61C29B</t>
  </si>
  <si>
    <t>02:0120:100</t>
  </si>
  <si>
    <t>27257BA</t>
  </si>
  <si>
    <t>61C257</t>
  </si>
  <si>
    <t>02:0120:019</t>
  </si>
  <si>
    <t>27257DA</t>
  </si>
  <si>
    <t>61C246</t>
  </si>
  <si>
    <t>02:0110:046</t>
  </si>
  <si>
    <t>94075B8</t>
  </si>
  <si>
    <t>61C235</t>
  </si>
  <si>
    <t>02:0110:041</t>
  </si>
  <si>
    <t>94073F2</t>
  </si>
  <si>
    <t>61C224</t>
  </si>
  <si>
    <t>01:0210:014</t>
  </si>
  <si>
    <t>940B555</t>
  </si>
  <si>
    <t>61C213</t>
  </si>
  <si>
    <t>01:0210:009</t>
  </si>
  <si>
    <t>94077FC</t>
  </si>
  <si>
    <t>61C202</t>
  </si>
  <si>
    <t>01:0210:004</t>
  </si>
  <si>
    <t>940B27B</t>
  </si>
  <si>
    <t>61C1F1</t>
  </si>
  <si>
    <t>02:0120:089</t>
  </si>
  <si>
    <t>27257D4</t>
  </si>
  <si>
    <t>61C1AD</t>
  </si>
  <si>
    <t>02:0110:050</t>
  </si>
  <si>
    <t>940B54A</t>
  </si>
  <si>
    <t>61C19C</t>
  </si>
  <si>
    <t>02:0110:045</t>
  </si>
  <si>
    <t>940B2D3</t>
  </si>
  <si>
    <t>61C18B</t>
  </si>
  <si>
    <t>02:0110:040</t>
  </si>
  <si>
    <t>940B49E</t>
  </si>
  <si>
    <t>61C17A</t>
  </si>
  <si>
    <t>01:0210:013</t>
  </si>
  <si>
    <t>94077DD</t>
  </si>
  <si>
    <t>61C169</t>
  </si>
  <si>
    <t>01:0210:008</t>
  </si>
  <si>
    <t>940B316</t>
  </si>
  <si>
    <t>61C158</t>
  </si>
  <si>
    <t>01:0210:003</t>
  </si>
  <si>
    <t>940B554</t>
  </si>
  <si>
    <t>61C147</t>
  </si>
  <si>
    <t>02:0120:067</t>
  </si>
  <si>
    <t>2725793</t>
  </si>
  <si>
    <t>61C103</t>
  </si>
  <si>
    <t>02:0110:049</t>
  </si>
  <si>
    <t>94077E5</t>
  </si>
  <si>
    <t>61C0F2</t>
  </si>
  <si>
    <t>02:0110:044</t>
  </si>
  <si>
    <t>940B31A</t>
  </si>
  <si>
    <t>61C0E1</t>
  </si>
  <si>
    <t>02:0110:039</t>
  </si>
  <si>
    <t>94075B4</t>
  </si>
  <si>
    <t>61C0D0</t>
  </si>
  <si>
    <t>01:0210:012</t>
  </si>
  <si>
    <t>94077E7</t>
  </si>
  <si>
    <t>61C0BF</t>
  </si>
  <si>
    <t>01:0210:007</t>
  </si>
  <si>
    <t>940B317</t>
  </si>
  <si>
    <t>61C0AE</t>
  </si>
  <si>
    <t>01:0210:002</t>
  </si>
  <si>
    <t>940B270</t>
  </si>
  <si>
    <t>61C09D</t>
  </si>
  <si>
    <t>02:0120:045</t>
  </si>
  <si>
    <t>27257AF</t>
  </si>
  <si>
    <t>61C059</t>
  </si>
  <si>
    <t>02:0110:048</t>
  </si>
  <si>
    <t>940B31C</t>
  </si>
  <si>
    <t>61C048</t>
  </si>
  <si>
    <t>02:0110:043</t>
  </si>
  <si>
    <t>940B31B</t>
  </si>
  <si>
    <t>61C037</t>
  </si>
  <si>
    <t>02:0110:038</t>
  </si>
  <si>
    <t>940B540</t>
  </si>
  <si>
    <t>61C026</t>
  </si>
  <si>
    <t>01:0210:011</t>
  </si>
  <si>
    <t>9407572</t>
  </si>
  <si>
    <t>61C015</t>
  </si>
  <si>
    <t>01:0210:006</t>
  </si>
  <si>
    <t>940B543</t>
  </si>
  <si>
    <t>61C004</t>
  </si>
  <si>
    <t>01:0210:001</t>
  </si>
  <si>
    <t>940B311</t>
  </si>
  <si>
    <t>61BFF3</t>
  </si>
  <si>
    <t>FDOOT241</t>
  </si>
  <si>
    <t>FDCL221-M, RPB31</t>
  </si>
  <si>
    <t>01:0110:088</t>
  </si>
  <si>
    <t>FDCL221M</t>
  </si>
  <si>
    <t>937E663</t>
  </si>
  <si>
    <t>61BE0B</t>
  </si>
  <si>
    <t>01:0110:089</t>
  </si>
  <si>
    <t>937E664</t>
  </si>
  <si>
    <t>61BDFA</t>
  </si>
  <si>
    <t>FDCIO222</t>
  </si>
  <si>
    <t>FDCIO222, Couloir eaux minér. niv.0 CLP3</t>
  </si>
  <si>
    <t>02:1110:106</t>
  </si>
  <si>
    <t>94B838C</t>
  </si>
  <si>
    <t>61BDC7</t>
  </si>
  <si>
    <t>CLP7-Local extraction de fumées s.sol</t>
  </si>
  <si>
    <t>02:0220:087</t>
  </si>
  <si>
    <t>62EFF42</t>
  </si>
  <si>
    <t>61BDB6</t>
  </si>
  <si>
    <t>Local ventil 4ème bas</t>
  </si>
  <si>
    <t>02:0120:064</t>
  </si>
  <si>
    <t>27C3446</t>
  </si>
  <si>
    <t>61BD94</t>
  </si>
  <si>
    <t>FDCIO222, CLP4 au combles</t>
  </si>
  <si>
    <t>01:1120:048</t>
  </si>
  <si>
    <t>94B83B2</t>
  </si>
  <si>
    <t>61BD83</t>
  </si>
  <si>
    <t>FDCIO222, CLP4 S-S local chaufferie</t>
  </si>
  <si>
    <t>01:1110:038</t>
  </si>
  <si>
    <t>94B837F</t>
  </si>
  <si>
    <t>61BD72</t>
  </si>
  <si>
    <t>01:0110:087</t>
  </si>
  <si>
    <t>937E662</t>
  </si>
  <si>
    <t>61BD61</t>
  </si>
  <si>
    <t>01:0110:090</t>
  </si>
  <si>
    <t>937E665</t>
  </si>
  <si>
    <t>61BD50</t>
  </si>
  <si>
    <t>FDCIO222, CLP2 S-S local ventil Radio.</t>
  </si>
  <si>
    <t>02:1310:032</t>
  </si>
  <si>
    <t>94B83A0</t>
  </si>
  <si>
    <t>61BD3F</t>
  </si>
  <si>
    <t>FDCIO222, Porte auto 4ème</t>
  </si>
  <si>
    <t>02:1210:034</t>
  </si>
  <si>
    <t>94116DA</t>
  </si>
  <si>
    <t>61BD2E</t>
  </si>
  <si>
    <t>FDCIO222, Ventilation Cuisine</t>
  </si>
  <si>
    <t>02:1110:095</t>
  </si>
  <si>
    <t>94116AA</t>
  </si>
  <si>
    <t>61BD1D</t>
  </si>
  <si>
    <t>Dans porte auto liaison consult.18-19</t>
  </si>
  <si>
    <t>02:0220:057</t>
  </si>
  <si>
    <t>90888D3</t>
  </si>
  <si>
    <t>61BD0C</t>
  </si>
  <si>
    <t>FDCIO222, SAS IRM 2</t>
  </si>
  <si>
    <t>02:0210:013</t>
  </si>
  <si>
    <t>075E5B6</t>
  </si>
  <si>
    <t>61BCFB</t>
  </si>
  <si>
    <t>CLP2, 3ème étage 27. Couloir ouest</t>
  </si>
  <si>
    <t>02:0120:060</t>
  </si>
  <si>
    <t>247D09C</t>
  </si>
  <si>
    <t>61BCEA</t>
  </si>
  <si>
    <t>01:1120:046</t>
  </si>
  <si>
    <t>916163A</t>
  </si>
  <si>
    <t>61BCD9</t>
  </si>
  <si>
    <t>FDCIO222, CLP4 Rez vers Escaliers</t>
  </si>
  <si>
    <t>01:1110:036</t>
  </si>
  <si>
    <t>916178A</t>
  </si>
  <si>
    <t>61BCC8</t>
  </si>
  <si>
    <t>01:0110:086</t>
  </si>
  <si>
    <t>937E661</t>
  </si>
  <si>
    <t>61BCB7</t>
  </si>
  <si>
    <t>61BCA6</t>
  </si>
  <si>
    <t>02:1310:031</t>
  </si>
  <si>
    <t>94B837A</t>
  </si>
  <si>
    <t>61BC95</t>
  </si>
  <si>
    <t>FDCIO222, Local ventilation CLP3</t>
  </si>
  <si>
    <t>02:1110:090</t>
  </si>
  <si>
    <t>94B83C0</t>
  </si>
  <si>
    <t>61BC73</t>
  </si>
  <si>
    <t>CLP7 Rez Caison du sol Consult. 18</t>
  </si>
  <si>
    <t>02:0220:034</t>
  </si>
  <si>
    <t>62EFF40</t>
  </si>
  <si>
    <t>61BC62</t>
  </si>
  <si>
    <t>FDCIO223, Salle de contrôle IRM 2</t>
  </si>
  <si>
    <t>02:0210:009</t>
  </si>
  <si>
    <t>FDCIO223</t>
  </si>
  <si>
    <t>055BB59</t>
  </si>
  <si>
    <t>61BC51</t>
  </si>
  <si>
    <t>Couloir nord vers détect. 1</t>
  </si>
  <si>
    <t>02:0120:029</t>
  </si>
  <si>
    <t>24628C7</t>
  </si>
  <si>
    <t>61BC40</t>
  </si>
  <si>
    <t>FDCIO222, CLP4 2ème étage vers Escaliers</t>
  </si>
  <si>
    <t>01:1120:034</t>
  </si>
  <si>
    <t>94B83AE</t>
  </si>
  <si>
    <t>61BC2F</t>
  </si>
  <si>
    <t>FDCIO222, CLP4 Rez vers Ascenseur</t>
  </si>
  <si>
    <t>01:1110:035</t>
  </si>
  <si>
    <t>91617B0</t>
  </si>
  <si>
    <t>61BC1E</t>
  </si>
  <si>
    <t>01:0110:081</t>
  </si>
  <si>
    <t>937E660</t>
  </si>
  <si>
    <t>61BC0D</t>
  </si>
  <si>
    <t>61BBFC</t>
  </si>
  <si>
    <t>FDCIO222,Local électrique 1er CLP3</t>
  </si>
  <si>
    <t>02:1120:103</t>
  </si>
  <si>
    <t>94B83BA</t>
  </si>
  <si>
    <t>61BBDA</t>
  </si>
  <si>
    <t>02:1110:089</t>
  </si>
  <si>
    <t>94B839F</t>
  </si>
  <si>
    <t>61BBC9</t>
  </si>
  <si>
    <t>FDCIO222, Loc. tech S-Sol parking IRM</t>
  </si>
  <si>
    <t>02:0220:011</t>
  </si>
  <si>
    <t>075E5BD</t>
  </si>
  <si>
    <t>61BBB8</t>
  </si>
  <si>
    <t>FDCIO222, Local technique IRM 2</t>
  </si>
  <si>
    <t>02:0210:007</t>
  </si>
  <si>
    <t>075E5B9</t>
  </si>
  <si>
    <t>61BBA7</t>
  </si>
  <si>
    <t>FDCIO222, CLP4 au 2ème étage</t>
  </si>
  <si>
    <t>01:1120:030</t>
  </si>
  <si>
    <t>94B83B0</t>
  </si>
  <si>
    <t>61BB85</t>
  </si>
  <si>
    <t>FDCIO222, Rez, Armoire WC CLP4</t>
  </si>
  <si>
    <t>01:1110:002</t>
  </si>
  <si>
    <t>94116AE</t>
  </si>
  <si>
    <t>61BB74</t>
  </si>
  <si>
    <t>01:0110:076</t>
  </si>
  <si>
    <t>937E65F</t>
  </si>
  <si>
    <t>61BB63</t>
  </si>
  <si>
    <t>FDCIO222, dans centrale 02 RPC37</t>
  </si>
  <si>
    <t>02:1340:004</t>
  </si>
  <si>
    <t>90EF30D</t>
  </si>
  <si>
    <t>61BB52</t>
  </si>
  <si>
    <t>FDCIO222, Ascenceur CLP 2</t>
  </si>
  <si>
    <t>02:1310:007</t>
  </si>
  <si>
    <t>9161792</t>
  </si>
  <si>
    <t>61BB41</t>
  </si>
  <si>
    <t>FDCIO222, Placard 1er machinerie Asc.</t>
  </si>
  <si>
    <t>02:1120:096</t>
  </si>
  <si>
    <t>94B8379</t>
  </si>
  <si>
    <t>61BB30</t>
  </si>
  <si>
    <t>FDCIO222, Ventilation refectoire cuisine</t>
  </si>
  <si>
    <t>02:1110:064</t>
  </si>
  <si>
    <t>94116B3</t>
  </si>
  <si>
    <t>61BB1F</t>
  </si>
  <si>
    <t>FDCIO222,Ascenseur parking</t>
  </si>
  <si>
    <t>02:0210:064</t>
  </si>
  <si>
    <t>075E58A</t>
  </si>
  <si>
    <t>61BB0E</t>
  </si>
  <si>
    <t>FDCIO222, Loc. élec. S-Sol parking</t>
  </si>
  <si>
    <t>02:0210:001</t>
  </si>
  <si>
    <t>075E5BE</t>
  </si>
  <si>
    <t>61BAFD</t>
  </si>
  <si>
    <t>FDCIO222, RPB33</t>
  </si>
  <si>
    <t>01:1140:002</t>
  </si>
  <si>
    <t>2C04D36</t>
  </si>
  <si>
    <t>61BAEC</t>
  </si>
  <si>
    <t>FDCIO222, CLP4 2ème étage vers Ascenseur</t>
  </si>
  <si>
    <t>01:1120:029</t>
  </si>
  <si>
    <t>94B83C5</t>
  </si>
  <si>
    <t>61BADB</t>
  </si>
  <si>
    <t>Local chaufferie s-sol</t>
  </si>
  <si>
    <t>01:0120:028</t>
  </si>
  <si>
    <t>4D2B13F</t>
  </si>
  <si>
    <t>61BACA</t>
  </si>
  <si>
    <t>01:0110:041</t>
  </si>
  <si>
    <t>937E65E</t>
  </si>
  <si>
    <t>61BAB9</t>
  </si>
  <si>
    <t>FDCIO222, dans centrale 02 RPC35</t>
  </si>
  <si>
    <t>02:1340:003</t>
  </si>
  <si>
    <t>945868C</t>
  </si>
  <si>
    <t>61BAA8</t>
  </si>
  <si>
    <t>FDCIO222, Ventilation CLP2</t>
  </si>
  <si>
    <t>02:1310:005</t>
  </si>
  <si>
    <t>94B83B8</t>
  </si>
  <si>
    <t>61BA97</t>
  </si>
  <si>
    <t>FDCIO222, Ascenceur 2</t>
  </si>
  <si>
    <t>02:1120:095</t>
  </si>
  <si>
    <t>94B83C1</t>
  </si>
  <si>
    <t>61BA86</t>
  </si>
  <si>
    <t>FDCIO222, Ventilation sous-station MT/BT</t>
  </si>
  <si>
    <t>02:1110:014</t>
  </si>
  <si>
    <t>94116C6</t>
  </si>
  <si>
    <t>61BA75</t>
  </si>
  <si>
    <t>FDCIO222, Loc ventilation S-Sol IRM 2</t>
  </si>
  <si>
    <t>02:0210:042</t>
  </si>
  <si>
    <t>075E5A6</t>
  </si>
  <si>
    <t>61BA64</t>
  </si>
  <si>
    <t>FDCIO222, Couloir sud (détect.1)</t>
  </si>
  <si>
    <t>02:0120:086</t>
  </si>
  <si>
    <t>2462B14</t>
  </si>
  <si>
    <t>61BA53</t>
  </si>
  <si>
    <t>FDCIO222, RPB32</t>
  </si>
  <si>
    <t>01:1140:001</t>
  </si>
  <si>
    <t>2BAF84F</t>
  </si>
  <si>
    <t>61BA42</t>
  </si>
  <si>
    <t>FDCIO222, CLP4 1er étage vers Escaliers</t>
  </si>
  <si>
    <t>01:1110:090</t>
  </si>
  <si>
    <t>94116B4</t>
  </si>
  <si>
    <t>61BA31</t>
  </si>
  <si>
    <t>Sur porte automatique s-sol</t>
  </si>
  <si>
    <t>01:0120:014</t>
  </si>
  <si>
    <t>4D2B138</t>
  </si>
  <si>
    <t>61BA20</t>
  </si>
  <si>
    <t>61BA0F</t>
  </si>
  <si>
    <t>FDCIO222, dans centrale 02 RPC31</t>
  </si>
  <si>
    <t>02:1340:001</t>
  </si>
  <si>
    <t>945868B</t>
  </si>
  <si>
    <t>61B9FE</t>
  </si>
  <si>
    <t>FDCIO222, PCF 2ème C.L.P 2 (Armoire)</t>
  </si>
  <si>
    <t>02:1220:021</t>
  </si>
  <si>
    <t>94B83AB</t>
  </si>
  <si>
    <t>61B9ED</t>
  </si>
  <si>
    <t>FDCIO222, Tableau électrique R31 CLP3</t>
  </si>
  <si>
    <t>02:1110:111</t>
  </si>
  <si>
    <t>94116C5</t>
  </si>
  <si>
    <t>61B9DC</t>
  </si>
  <si>
    <t>FDCIO222, Stores exterieurs restaurant</t>
  </si>
  <si>
    <t>02:1110:001</t>
  </si>
  <si>
    <t>94B83C6</t>
  </si>
  <si>
    <t>61B9CB</t>
  </si>
  <si>
    <t>01:0110:024</t>
  </si>
  <si>
    <t>937E65D</t>
  </si>
  <si>
    <t>61B9BA</t>
  </si>
  <si>
    <t>FDCIO222, dans centrale 02 RPC33</t>
  </si>
  <si>
    <t>02:1340:002</t>
  </si>
  <si>
    <t>9458742</t>
  </si>
  <si>
    <t>61B9A9</t>
  </si>
  <si>
    <t>FDCIO222, P-C-F 1er étage C.L.P.2</t>
  </si>
  <si>
    <t>02:1220:058</t>
  </si>
  <si>
    <t>94B83AC</t>
  </si>
  <si>
    <t>61B998</t>
  </si>
  <si>
    <t>FDCIO222, Gaine tech cafette Gr. 401</t>
  </si>
  <si>
    <t>02:1120:027</t>
  </si>
  <si>
    <t>943B197</t>
  </si>
  <si>
    <t>61B987</t>
  </si>
  <si>
    <t>FDCIO222, dans placard DM911</t>
  </si>
  <si>
    <t>02:1110:003</t>
  </si>
  <si>
    <t>94B83AA</t>
  </si>
  <si>
    <t>61B976</t>
  </si>
  <si>
    <t>FDCIO222, PCF radiologie S-Sol</t>
  </si>
  <si>
    <t>02:0210:033</t>
  </si>
  <si>
    <t>075E5BF</t>
  </si>
  <si>
    <t>61B965</t>
  </si>
  <si>
    <t>Local ventil 4ème Haut</t>
  </si>
  <si>
    <t>02:0120:066</t>
  </si>
  <si>
    <t>2462B12</t>
  </si>
  <si>
    <t>61B954</t>
  </si>
  <si>
    <t>01:1120:062</t>
  </si>
  <si>
    <t>94B838D</t>
  </si>
  <si>
    <t>61B943</t>
  </si>
  <si>
    <t>FDCIO222, CLP4 1er étage vers Ascenseur</t>
  </si>
  <si>
    <t>01:1110:088</t>
  </si>
  <si>
    <t>94116AD</t>
  </si>
  <si>
    <t>61B932</t>
  </si>
  <si>
    <t>Local électrique S01</t>
  </si>
  <si>
    <t>01:0120:011</t>
  </si>
  <si>
    <t>4D2B13E</t>
  </si>
  <si>
    <t>61B921</t>
  </si>
  <si>
    <t>FDCIO222, FDA IRM 1 Local ventilation</t>
  </si>
  <si>
    <t>02:0210:032</t>
  </si>
  <si>
    <t>0F5332E</t>
  </si>
  <si>
    <t>61B910</t>
  </si>
  <si>
    <t>Local ventil 4ème milieu</t>
  </si>
  <si>
    <t>02:0120:065</t>
  </si>
  <si>
    <t>2646654</t>
  </si>
  <si>
    <t>61B8FF</t>
  </si>
  <si>
    <t>01:1120:055</t>
  </si>
  <si>
    <t>94B83AD</t>
  </si>
  <si>
    <t>61B8EE</t>
  </si>
  <si>
    <t>01:1110:040</t>
  </si>
  <si>
    <t>94116E0</t>
  </si>
  <si>
    <t>61B8DD</t>
  </si>
  <si>
    <t>FDCIO222, Local sous toiture Combles</t>
  </si>
  <si>
    <t>01:0110:040</t>
  </si>
  <si>
    <t>4996FF1</t>
  </si>
  <si>
    <t>61B8CC</t>
  </si>
  <si>
    <t>2ème étage</t>
  </si>
  <si>
    <t>C.L.P.1 / La Résidence</t>
  </si>
  <si>
    <t>1er étage</t>
  </si>
  <si>
    <t>FDOOT221</t>
  </si>
  <si>
    <t>02: Standard</t>
  </si>
  <si>
    <t>Laboratoire 11-007</t>
  </si>
  <si>
    <t>01:0110:022</t>
  </si>
  <si>
    <t>48CF82A</t>
  </si>
  <si>
    <t>02 (OOT): Robust/02 (OOT): Robust</t>
  </si>
  <si>
    <t>61B60F</t>
  </si>
  <si>
    <t>TAG1:61C4BC_TAG2:-39806.020670_TAG3:64380.786321_TAG_END</t>
  </si>
  <si>
    <t>Cage ascenseur</t>
  </si>
  <si>
    <t>Hall d'entrée laboratoire</t>
  </si>
  <si>
    <t>01:0110:023</t>
  </si>
  <si>
    <t>488BDC2</t>
  </si>
  <si>
    <t>61B5AB</t>
  </si>
  <si>
    <t>TAG1:61C4BD_TAG2:-39711.033782_TAG3:64420.190563_TAG_END</t>
  </si>
  <si>
    <t>Couloir chambres</t>
  </si>
  <si>
    <t>01:0110:006</t>
  </si>
  <si>
    <t>647F400</t>
  </si>
  <si>
    <t>61B597</t>
  </si>
  <si>
    <t>TAG1:61C4BE_TAG2:-39775.379849_TAG3:64426.686721_TAG_END</t>
  </si>
  <si>
    <t>01:0110:004</t>
  </si>
  <si>
    <t>647F0CB</t>
  </si>
  <si>
    <t>61B583</t>
  </si>
  <si>
    <t>01:0110:020</t>
  </si>
  <si>
    <t>6471B7A</t>
  </si>
  <si>
    <t>61B457</t>
  </si>
  <si>
    <t>01:0110:019</t>
  </si>
  <si>
    <t>4AA63BA</t>
  </si>
  <si>
    <t>61B443</t>
  </si>
  <si>
    <t>Laboratoire 11-003</t>
  </si>
  <si>
    <t>01:0110:014</t>
  </si>
  <si>
    <t>647EF02</t>
  </si>
  <si>
    <t>61B42F</t>
  </si>
  <si>
    <t>TAG1:61C4BF_TAG2:-39870.366736_TAG3:64373.282478_TAG_END</t>
  </si>
  <si>
    <t>Laboratoire 106</t>
  </si>
  <si>
    <t>01:0110:013</t>
  </si>
  <si>
    <t>647F03D</t>
  </si>
  <si>
    <t>61B41B</t>
  </si>
  <si>
    <t>TAG1:61C4C0_TAG2:-39930.366736_TAG3:64380.282478_TAG_END</t>
  </si>
  <si>
    <t>01:0110:012</t>
  </si>
  <si>
    <t>647EFA2</t>
  </si>
  <si>
    <t>61B407</t>
  </si>
  <si>
    <t>01:0110:011</t>
  </si>
  <si>
    <t>647EE6C</t>
  </si>
  <si>
    <t>61B3F3</t>
  </si>
  <si>
    <t>01:0110:002</t>
  </si>
  <si>
    <t>6471CEF</t>
  </si>
  <si>
    <t>61B3CB</t>
  </si>
  <si>
    <t>Chambre 105</t>
  </si>
  <si>
    <t>01:0110:009</t>
  </si>
  <si>
    <t>647EFE7</t>
  </si>
  <si>
    <t>61B3B7</t>
  </si>
  <si>
    <t>TAG1:61C4C2_TAG2:-39844.071983_TAG3:64418.679036_TAG_END</t>
  </si>
  <si>
    <t>Chambre 104</t>
  </si>
  <si>
    <t>01:0110:008</t>
  </si>
  <si>
    <t>647F099</t>
  </si>
  <si>
    <t>61B3A3</t>
  </si>
  <si>
    <t>TAG1:61C4C3_TAG2:-39874.071983_TAG3:64418.679036_TAG_END</t>
  </si>
  <si>
    <t>Chambre 103</t>
  </si>
  <si>
    <t>01:0110:007</t>
  </si>
  <si>
    <t>647EEE7</t>
  </si>
  <si>
    <t>61B38F</t>
  </si>
  <si>
    <t>TAG1:61C4C4_TAG2:-39904.071983_TAG3:64418.679036_TAG_END</t>
  </si>
  <si>
    <t>Chambre 102</t>
  </si>
  <si>
    <t>01:0110:001</t>
  </si>
  <si>
    <t>647F087</t>
  </si>
  <si>
    <t>61B37B</t>
  </si>
  <si>
    <t>TAG1:61C4C5_TAG2:-39934.071983_TAG3:64418.679036_TAG_END</t>
  </si>
  <si>
    <t>Chambre 101</t>
  </si>
  <si>
    <t>01:0110:003</t>
  </si>
  <si>
    <t>6471D0B</t>
  </si>
  <si>
    <t>61B367</t>
  </si>
  <si>
    <t>TAG1:61C4C6_TAG2:-39964.071983_TAG3:64418.679036_TAG_END</t>
  </si>
  <si>
    <t>Attente couloir</t>
  </si>
  <si>
    <t>01:0110:005</t>
  </si>
  <si>
    <t>647F0FA</t>
  </si>
  <si>
    <t>61B353</t>
  </si>
  <si>
    <t>TAG1:61C4C7_TAG2:-39994.071983_TAG3:64418.679036_TAG_END</t>
  </si>
  <si>
    <t>Radiographie</t>
  </si>
  <si>
    <t>Couloir bureaux</t>
  </si>
  <si>
    <t>Sous-sol</t>
  </si>
  <si>
    <t>Douches faux-plafond</t>
  </si>
  <si>
    <t>01:0120:033</t>
  </si>
  <si>
    <t>647EF2B</t>
  </si>
  <si>
    <t>61AED3</t>
  </si>
  <si>
    <t>TAG1:61C487_TAG2:-39542.248091_TAG3:63602.218556_TAG_END</t>
  </si>
  <si>
    <t>Secrétariat</t>
  </si>
  <si>
    <t>Salle d'attente</t>
  </si>
  <si>
    <t>Couloir</t>
  </si>
  <si>
    <t>Chaufferie</t>
  </si>
  <si>
    <t>01 (T): A1R (60°C ROR)/01 (T): A1R (60°C ROR)</t>
  </si>
  <si>
    <t>Combles</t>
  </si>
  <si>
    <t>488DAB</t>
  </si>
  <si>
    <t>31CB0A</t>
  </si>
  <si>
    <t>BD0A9</t>
  </si>
  <si>
    <t>BD098</t>
  </si>
  <si>
    <t>BD087</t>
  </si>
  <si>
    <t>01:0110:029</t>
  </si>
  <si>
    <t>460A47C</t>
  </si>
  <si>
    <t>46A91</t>
  </si>
  <si>
    <t>TAG1:61C4DF_TAG2:-39620.601140_TAG3:64895.159064_TAG_END</t>
  </si>
  <si>
    <t>438BB</t>
  </si>
  <si>
    <t>438B4</t>
  </si>
  <si>
    <t>438A2</t>
  </si>
  <si>
    <t>C.L.P.4 / Le Château</t>
  </si>
  <si>
    <t>Hall entrée chambre 411-412</t>
  </si>
  <si>
    <t>01:1110:024</t>
  </si>
  <si>
    <t>6452278</t>
  </si>
  <si>
    <t>04 (OOT): Balanced/04 (OOT): Balanced</t>
  </si>
  <si>
    <t>61BF8A</t>
  </si>
  <si>
    <t>TAG1:61C6D3_TAG2:-37302.409532_TAG3:63652.486663_TAG_END</t>
  </si>
  <si>
    <t>Vestibule chambre 419 suite tsar</t>
  </si>
  <si>
    <t>01:1110:045</t>
  </si>
  <si>
    <t>6462794</t>
  </si>
  <si>
    <t>61B79F</t>
  </si>
  <si>
    <t>TAG1:61C6E3_TAG2:-37462.780029_TAG3:63776.862766_TAG_END</t>
  </si>
  <si>
    <t>Hall entrée chambre 419 suite tsar</t>
  </si>
  <si>
    <t>01:1110:048</t>
  </si>
  <si>
    <t>643F446</t>
  </si>
  <si>
    <t>61B78B</t>
  </si>
  <si>
    <t>TAG1:61C6E4_TAG2:-37485.535185_TAG3:63775.414432_TAG_END</t>
  </si>
  <si>
    <t>Salle de bains  chambre 419</t>
  </si>
  <si>
    <t>01:1110:054</t>
  </si>
  <si>
    <t>64520F3</t>
  </si>
  <si>
    <t>61B777</t>
  </si>
  <si>
    <t>TAG1:61C6E5_TAG2:-37510.401342_TAG3:63803.861250_TAG_END</t>
  </si>
  <si>
    <t>Salon chambre 419</t>
  </si>
  <si>
    <t>01:1110:052</t>
  </si>
  <si>
    <t>643F36F</t>
  </si>
  <si>
    <t>61B763</t>
  </si>
  <si>
    <t>TAG1:61C6E6_TAG2:-37572.204430_TAG3:63764.917010_TAG_END</t>
  </si>
  <si>
    <t>Hall entrée chambre 419</t>
  </si>
  <si>
    <t>01:1110:051</t>
  </si>
  <si>
    <t>645209E</t>
  </si>
  <si>
    <t>61B74F</t>
  </si>
  <si>
    <t>TAG1:61C6E7_TAG2:-37569.121489_TAG3:63792.512266_TAG_END</t>
  </si>
  <si>
    <t>Vestibule chambre 419</t>
  </si>
  <si>
    <t>01:1110:047</t>
  </si>
  <si>
    <t>643F72B</t>
  </si>
  <si>
    <t>61B73B</t>
  </si>
  <si>
    <t>TAG1:61C6E8_TAG2:-37505.637366_TAG3:63778.013354_TAG_END</t>
  </si>
  <si>
    <t>Chambre 419</t>
  </si>
  <si>
    <t>01:1110:053</t>
  </si>
  <si>
    <t>64628CA</t>
  </si>
  <si>
    <t>61B727</t>
  </si>
  <si>
    <t>TAG1:61C6E9_TAG2:-37568.335923_TAG3:63818.780287_TAG_END</t>
  </si>
  <si>
    <t>Bureau housekeeping</t>
  </si>
  <si>
    <t>01:1120:006</t>
  </si>
  <si>
    <t>640B53C</t>
  </si>
  <si>
    <t>61B6AF</t>
  </si>
  <si>
    <t>TAG1:61C735_TAG2:-37175.565251_TAG3:64711.366470_TAG_END</t>
  </si>
  <si>
    <t>Dépôt 1</t>
  </si>
  <si>
    <t>01:1120:009</t>
  </si>
  <si>
    <t>640B4B0</t>
  </si>
  <si>
    <t>61B69B</t>
  </si>
  <si>
    <t>TAG1:61C736_TAG2:-37205.565251_TAG3:64711.366470_TAG_END</t>
  </si>
  <si>
    <t>Economat nettoyage</t>
  </si>
  <si>
    <t>01:1110:005</t>
  </si>
  <si>
    <t>64628CB</t>
  </si>
  <si>
    <t>61B687</t>
  </si>
  <si>
    <t>TAG1:61C6F3_TAG2:-37257.597868_TAG3:63846.789428_TAG_END</t>
  </si>
  <si>
    <t>Office d' étage</t>
  </si>
  <si>
    <t>01:1110:004</t>
  </si>
  <si>
    <t>643F2A9</t>
  </si>
  <si>
    <t>61B673</t>
  </si>
  <si>
    <t>TAG1:61C6F4_TAG2:-37278.396651_TAG3:63875.692223_TAG_END</t>
  </si>
  <si>
    <t>Wc personnel</t>
  </si>
  <si>
    <t>01:1110:003</t>
  </si>
  <si>
    <t>64524A7</t>
  </si>
  <si>
    <t>61B65F</t>
  </si>
  <si>
    <t>TAG1:61C6F5_TAG2:-37308.396651_TAG3:63875.692223_TAG_END</t>
  </si>
  <si>
    <t>Gaine technique</t>
  </si>
  <si>
    <t>01:1110:001</t>
  </si>
  <si>
    <t>6452437</t>
  </si>
  <si>
    <t>61B64B</t>
  </si>
  <si>
    <t>TAG1:61C6F6_TAG2:-37338.396651_TAG3:63875.692223_TAG_END</t>
  </si>
  <si>
    <t>C.L.P.7 / Centre médical</t>
  </si>
  <si>
    <t>02:0220:032</t>
  </si>
  <si>
    <t>5263CE6</t>
  </si>
  <si>
    <t>61B5BF</t>
  </si>
  <si>
    <t>TAG1:61C650_TAG2:-35319.382762_TAG3:66035.025739_TAG_END</t>
  </si>
  <si>
    <t>Salle de bains  chambre 417</t>
  </si>
  <si>
    <t>01:1110:043</t>
  </si>
  <si>
    <t>64628CE</t>
  </si>
  <si>
    <t>61B56F</t>
  </si>
  <si>
    <t>TAG1:61C6D5_TAG2:-37426.401889_TAG3:63797.888711_TAG_END</t>
  </si>
  <si>
    <t>Liaison</t>
  </si>
  <si>
    <t>02:0220:033</t>
  </si>
  <si>
    <t>647F430</t>
  </si>
  <si>
    <t>61B55B</t>
  </si>
  <si>
    <t>TAG1:61C56D_TAG2:-35283.471655_TAG3:66100.710448_TAG_END</t>
  </si>
  <si>
    <t>Couloir wc handicapés</t>
  </si>
  <si>
    <t>02:0220:041</t>
  </si>
  <si>
    <t>6594F93</t>
  </si>
  <si>
    <t>61B547</t>
  </si>
  <si>
    <t>TAG1:61C545_TAG2:-35448.315444_TAG3:66235.965525_TAG_END</t>
  </si>
  <si>
    <t>Réserve matériel médical</t>
  </si>
  <si>
    <t>02:0220:042</t>
  </si>
  <si>
    <t>659D95C</t>
  </si>
  <si>
    <t>61B533</t>
  </si>
  <si>
    <t>TAG1:61C546_TAG2:-35450.835403_TAG3:66261.284495_TAG_END</t>
  </si>
  <si>
    <t>Wc handicapes</t>
  </si>
  <si>
    <t>02:0220:043</t>
  </si>
  <si>
    <t>659510E</t>
  </si>
  <si>
    <t>61B51F</t>
  </si>
  <si>
    <t>TAG1:61C547_TAG2:-35462.591237_TAG3:66226.460361_TAG_END</t>
  </si>
  <si>
    <t>Bureau 13</t>
  </si>
  <si>
    <t>02:0220:038</t>
  </si>
  <si>
    <t>5AA316E</t>
  </si>
  <si>
    <t>61B50B</t>
  </si>
  <si>
    <t>TAG1:61C548_TAG2:-35461.240481_TAG3:66297.803358_TAG_END</t>
  </si>
  <si>
    <t>02:0220:039</t>
  </si>
  <si>
    <t>6503A8C</t>
  </si>
  <si>
    <t>61B4F7</t>
  </si>
  <si>
    <t>Dépôt 2</t>
  </si>
  <si>
    <t>01:1120:008</t>
  </si>
  <si>
    <t>640B564</t>
  </si>
  <si>
    <t>61B4E3</t>
  </si>
  <si>
    <t>TAG1:61C737_TAG2:-37237.278846_TAG3:64711.016118_TAG_END</t>
  </si>
  <si>
    <t>Gaine tech wc personnel</t>
  </si>
  <si>
    <t>01:1120:002</t>
  </si>
  <si>
    <t>643F51F</t>
  </si>
  <si>
    <t>61B4CF</t>
  </si>
  <si>
    <t>TAG1:61C738_TAG2:-37185.250846_TAG3:64643.645008_TAG_END</t>
  </si>
  <si>
    <t>Office d'étage</t>
  </si>
  <si>
    <t>01:1120:004</t>
  </si>
  <si>
    <t>640B2DA</t>
  </si>
  <si>
    <t>61B4BB</t>
  </si>
  <si>
    <t>TAG1:61C739_TAG2:-37215.250846_TAG3:64643.645008_TAG_END</t>
  </si>
  <si>
    <t>Vestiaire personnel</t>
  </si>
  <si>
    <t>01:1120:005</t>
  </si>
  <si>
    <t>640B5E8</t>
  </si>
  <si>
    <t>61B4A7</t>
  </si>
  <si>
    <t>TAG1:61C73A_TAG2:-37203.888274_TAG3:64675.007423_TAG_END</t>
  </si>
  <si>
    <t>01:1120:003</t>
  </si>
  <si>
    <t>640B2C4</t>
  </si>
  <si>
    <t>61B493</t>
  </si>
  <si>
    <t>TAG1:61C73B_TAG2:-37233.888274_TAG3:64675.007423_TAG_END</t>
  </si>
  <si>
    <t>Local désemfumage</t>
  </si>
  <si>
    <t>02:0220:029</t>
  </si>
  <si>
    <t>6472065</t>
  </si>
  <si>
    <t>61B2DB</t>
  </si>
  <si>
    <t>TAG1:61C55F_TAG2:-35140.340855_TAG3:66121.864907_TAG_END</t>
  </si>
  <si>
    <t>Local stockage</t>
  </si>
  <si>
    <t>02:0220:001</t>
  </si>
  <si>
    <t>6471FEE</t>
  </si>
  <si>
    <t>61B2C7</t>
  </si>
  <si>
    <t>TAG1:61C560_TAG2:-35170.340855_TAG3:66121.864907_TAG_END</t>
  </si>
  <si>
    <t>Salon 419 suite tsar</t>
  </si>
  <si>
    <t>01:1110:050</t>
  </si>
  <si>
    <t>6462988</t>
  </si>
  <si>
    <t>61B29F</t>
  </si>
  <si>
    <t>TAG1:61C6EA_TAG2:-37498.425955_TAG3:63715.297638_TAG_END</t>
  </si>
  <si>
    <t>Chambre 419 suite tsar</t>
  </si>
  <si>
    <t>01:1110:049</t>
  </si>
  <si>
    <t>64628FF</t>
  </si>
  <si>
    <t>61B28B</t>
  </si>
  <si>
    <t>TAG1:61C6EB_TAG2:-37528.425955_TAG3:63715.297638_TAG_END</t>
  </si>
  <si>
    <t>Salle de bains chambre 419 suite tsar</t>
  </si>
  <si>
    <t>01:1110:046</t>
  </si>
  <si>
    <t>6462841</t>
  </si>
  <si>
    <t>61B277</t>
  </si>
  <si>
    <t>TAG1:61C6EC_TAG2:-37478.619608_TAG3:63787.938367_TAG_END</t>
  </si>
  <si>
    <t>Stock propre</t>
  </si>
  <si>
    <t>01:1110:010</t>
  </si>
  <si>
    <t>643F71F</t>
  </si>
  <si>
    <t>61B187</t>
  </si>
  <si>
    <t>TAG1:61C6F7_TAG2:-37164.791915_TAG3:63847.000410_TAG_END</t>
  </si>
  <si>
    <t>Stock sale</t>
  </si>
  <si>
    <t>01:1110:007</t>
  </si>
  <si>
    <t>645245A</t>
  </si>
  <si>
    <t>61B173</t>
  </si>
  <si>
    <t>TAG1:61C6F8_TAG2:-37194.791915_TAG3:63847.000410_TAG_END</t>
  </si>
  <si>
    <t>CFA-CFO</t>
  </si>
  <si>
    <t>01:1110:006</t>
  </si>
  <si>
    <t>6452448</t>
  </si>
  <si>
    <t>61B15F</t>
  </si>
  <si>
    <t>TAG1:61C6F9_TAG2:-37224.791915_TAG3:63847.000410_TAG_END</t>
  </si>
  <si>
    <t>Dégagement</t>
  </si>
  <si>
    <t>02:0220:069</t>
  </si>
  <si>
    <t>674C216</t>
  </si>
  <si>
    <t>61B10F</t>
  </si>
  <si>
    <t>TAG1:61C561_TAG2:-35129.580692_TAG3:66173.670871_TAG_END</t>
  </si>
  <si>
    <t>02:0220:065</t>
  </si>
  <si>
    <t>6734836</t>
  </si>
  <si>
    <t>61B0FB</t>
  </si>
  <si>
    <t>02:0220:068</t>
  </si>
  <si>
    <t>674AE36</t>
  </si>
  <si>
    <t>61B0E7</t>
  </si>
  <si>
    <t>02:0220:058</t>
  </si>
  <si>
    <t>674C564</t>
  </si>
  <si>
    <t>61B0D3</t>
  </si>
  <si>
    <t>C.L.P.2 / Radiologie - Parking</t>
  </si>
  <si>
    <t>Sous-sol parking</t>
  </si>
  <si>
    <t>Escalier parking</t>
  </si>
  <si>
    <t>02:0220:012</t>
  </si>
  <si>
    <t>647F113</t>
  </si>
  <si>
    <t>61AFFC</t>
  </si>
  <si>
    <t>TAG1:61C64B_TAG2:-35545.013609_TAG3:64410.989794_TAG_END</t>
  </si>
  <si>
    <t>Réserve</t>
  </si>
  <si>
    <t>02:0220:017</t>
  </si>
  <si>
    <t>52638B9</t>
  </si>
  <si>
    <t>61AFCB</t>
  </si>
  <si>
    <t>TAG1:61C50F_TAG2:-35604.708000_TAG3:64393.309375_TAG_END</t>
  </si>
  <si>
    <t>02:0220:016</t>
  </si>
  <si>
    <t>6471E10</t>
  </si>
  <si>
    <t>61AF9A</t>
  </si>
  <si>
    <t>02:0220:015</t>
  </si>
  <si>
    <t>647F247</t>
  </si>
  <si>
    <t>61AF69</t>
  </si>
  <si>
    <t>C.L.P.2 / Centre médical</t>
  </si>
  <si>
    <t>Superstructure</t>
  </si>
  <si>
    <t>Machinerie ascenseurs</t>
  </si>
  <si>
    <t>02:1310:006</t>
  </si>
  <si>
    <t>6412D5B</t>
  </si>
  <si>
    <t>619690</t>
  </si>
  <si>
    <t>TAG1:61C64F_TAG2:-33478.996849_TAG3:66191.854564_TAG_END</t>
  </si>
  <si>
    <t>Radiologie</t>
  </si>
  <si>
    <t>Unité ophtalmologie 3</t>
  </si>
  <si>
    <t>02:0210:020</t>
  </si>
  <si>
    <t>6472085</t>
  </si>
  <si>
    <t>6195DC</t>
  </si>
  <si>
    <t>TAG1:61C4FC_TAG2:-35503.836351_TAG3:64304.843141_TAG_END</t>
  </si>
  <si>
    <t>Sas cabinet 1 - 2</t>
  </si>
  <si>
    <t>02:0210:022</t>
  </si>
  <si>
    <t>647F4DD</t>
  </si>
  <si>
    <t>6195C8</t>
  </si>
  <si>
    <t>TAG1:61C4FD_TAG2:-35715.013895_TAG3:64339.562760_TAG_END</t>
  </si>
  <si>
    <t>Salle attente obscure faux plafond</t>
  </si>
  <si>
    <t>02:0210:030</t>
  </si>
  <si>
    <t>51FF568</t>
  </si>
  <si>
    <t>6195B4</t>
  </si>
  <si>
    <t>TAG1:61C4FE_TAG2:-35745.013895_TAG3:64339.562760_TAG_END</t>
  </si>
  <si>
    <t>Salle attente obscure</t>
  </si>
  <si>
    <t>02:0210:029</t>
  </si>
  <si>
    <t>6472297</t>
  </si>
  <si>
    <t>6195A0</t>
  </si>
  <si>
    <t>TAG1:61C4FF_TAG2:-35775.013895_TAG3:64339.562760_TAG_END</t>
  </si>
  <si>
    <t>Cabinet 2 faux plafond</t>
  </si>
  <si>
    <t>02:0210:050</t>
  </si>
  <si>
    <t>51FF60D</t>
  </si>
  <si>
    <t>61958C</t>
  </si>
  <si>
    <t>TAG1:61C500_TAG2:-35820.013895_TAG3:64346.562760_TAG_END</t>
  </si>
  <si>
    <t>02:0210:048</t>
  </si>
  <si>
    <t>51FF477</t>
  </si>
  <si>
    <t>619578</t>
  </si>
  <si>
    <t>Cabinet 2</t>
  </si>
  <si>
    <t>02:0210:049</t>
  </si>
  <si>
    <t>64721C1</t>
  </si>
  <si>
    <t>619564</t>
  </si>
  <si>
    <t>TAG1:61C501_TAG2:-35865.013895_TAG3:64339.562760_TAG_END</t>
  </si>
  <si>
    <t>Cabinet 1 faux plafond</t>
  </si>
  <si>
    <t>02:0210:027</t>
  </si>
  <si>
    <t>51FF681</t>
  </si>
  <si>
    <t>619550</t>
  </si>
  <si>
    <t>TAG1:61C502_TAG2:-35895.013895_TAG3:64339.562760_TAG_END</t>
  </si>
  <si>
    <t>Cabinet 1</t>
  </si>
  <si>
    <t>02:0210:028</t>
  </si>
  <si>
    <t>6471FF3</t>
  </si>
  <si>
    <t>61953C</t>
  </si>
  <si>
    <t>TAG1:61C503_TAG2:-35925.013895_TAG3:64339.562760_TAG_END</t>
  </si>
  <si>
    <t>Biométrie faux plafond</t>
  </si>
  <si>
    <t>02:0210:056</t>
  </si>
  <si>
    <t>51FF228</t>
  </si>
  <si>
    <t>619528</t>
  </si>
  <si>
    <t>TAG1:61C504_TAG2:-35955.013895_TAG3:64339.562760_TAG_END</t>
  </si>
  <si>
    <t>Biométrie</t>
  </si>
  <si>
    <t>02:0210:055</t>
  </si>
  <si>
    <t>6472125</t>
  </si>
  <si>
    <t>619514</t>
  </si>
  <si>
    <t>TAG1:61C505_TAG2:-35985.013895_TAG3:64339.562760_TAG_END</t>
  </si>
  <si>
    <t>Unité ophtalmologie 2 faux plafond</t>
  </si>
  <si>
    <t>02:0210:053</t>
  </si>
  <si>
    <t>51FF45A</t>
  </si>
  <si>
    <t>619500</t>
  </si>
  <si>
    <t>TAG1:61C506_TAG2:-35710.921525_TAG3:64378.846887_TAG_END</t>
  </si>
  <si>
    <t>Unité ophtalmologie 2</t>
  </si>
  <si>
    <t>02:0210:054</t>
  </si>
  <si>
    <t>647F27A</t>
  </si>
  <si>
    <t>6194EC</t>
  </si>
  <si>
    <t>TAG1:61C507_TAG2:-35740.921525_TAG3:64378.846887_TAG_END</t>
  </si>
  <si>
    <t>Unité ophtalmologie 1 faux plafond</t>
  </si>
  <si>
    <t>02:0210:051</t>
  </si>
  <si>
    <t>51FF5CF</t>
  </si>
  <si>
    <t>6194D8</t>
  </si>
  <si>
    <t>TAG1:61C508_TAG2:-35770.921525_TAG3:64378.846887_TAG_END</t>
  </si>
  <si>
    <t>Unité ophtalmologie 1</t>
  </si>
  <si>
    <t>02:0210:052</t>
  </si>
  <si>
    <t>6471FD1</t>
  </si>
  <si>
    <t>6194C4</t>
  </si>
  <si>
    <t>TAG1:61C509_TAG2:-35800.921525_TAG3:64378.846887_TAG_END</t>
  </si>
  <si>
    <t>Stérilisation faux plafond</t>
  </si>
  <si>
    <t>02:0210:024</t>
  </si>
  <si>
    <t>562A312</t>
  </si>
  <si>
    <t>6194B0</t>
  </si>
  <si>
    <t>TAG1:61C50A_TAG2:-35830.921525_TAG3:64378.846887_TAG_END</t>
  </si>
  <si>
    <t>Stérilisation</t>
  </si>
  <si>
    <t>02:0210:023</t>
  </si>
  <si>
    <t>6472042</t>
  </si>
  <si>
    <t>61949C</t>
  </si>
  <si>
    <t>TAG1:61C50B_TAG2:-35860.921525_TAG3:64378.846887_TAG_END</t>
  </si>
  <si>
    <t>Secrétariat faux plafond</t>
  </si>
  <si>
    <t>02:0210:057</t>
  </si>
  <si>
    <t>51FF619</t>
  </si>
  <si>
    <t>619488</t>
  </si>
  <si>
    <t>TAG1:61C50C_TAG2:-35920.921525_TAG3:64385.846887_TAG_END</t>
  </si>
  <si>
    <t>02:0210:026</t>
  </si>
  <si>
    <t>558C559</t>
  </si>
  <si>
    <t>619474</t>
  </si>
  <si>
    <t>02:0210:021</t>
  </si>
  <si>
    <t>51FEF88</t>
  </si>
  <si>
    <t>619460</t>
  </si>
  <si>
    <t>02:0210:059</t>
  </si>
  <si>
    <t>6472278</t>
  </si>
  <si>
    <t>61944C</t>
  </si>
  <si>
    <t>TAG1:61C50D_TAG2:-35980.921525_TAG3:64378.846887_TAG_END</t>
  </si>
  <si>
    <t>Médecin chef - consultation 9</t>
  </si>
  <si>
    <t>02:1310:071</t>
  </si>
  <si>
    <t>640B473</t>
  </si>
  <si>
    <t>06 (OOT): Fast response/06 (OOT): Fast response</t>
  </si>
  <si>
    <t>619438</t>
  </si>
  <si>
    <t>TAG1:61C581_TAG2:-33321.462521_TAG3:63285.353707_TAG_END</t>
  </si>
  <si>
    <t>Réception - secrétariat</t>
  </si>
  <si>
    <t>02:1310:076</t>
  </si>
  <si>
    <t>640B595</t>
  </si>
  <si>
    <t>619424</t>
  </si>
  <si>
    <t>TAG1:61C582_TAG2:-33321.676219_TAG3:63202.955718_TAG_END</t>
  </si>
  <si>
    <t>02:1310:077</t>
  </si>
  <si>
    <t>640B64E</t>
  </si>
  <si>
    <t>619410</t>
  </si>
  <si>
    <t>Réunion</t>
  </si>
  <si>
    <t>02:1310:070</t>
  </si>
  <si>
    <t>640B3F6</t>
  </si>
  <si>
    <t>6193E8</t>
  </si>
  <si>
    <t>TAG1:61C584_TAG2:-33658.263885_TAG3:63311.830227_TAG_END</t>
  </si>
  <si>
    <t>Salon - salle d'attente 2</t>
  </si>
  <si>
    <t>02:1310:069</t>
  </si>
  <si>
    <t>6412DB6</t>
  </si>
  <si>
    <t>6193D4</t>
  </si>
  <si>
    <t>TAG1:61C585_TAG2:-33271.936901_TAG3:63289.018443_TAG_END</t>
  </si>
  <si>
    <t>Sas entrée</t>
  </si>
  <si>
    <t>02:1310:073</t>
  </si>
  <si>
    <t>640B2B9</t>
  </si>
  <si>
    <t>6193C0</t>
  </si>
  <si>
    <t>TAG1:61C586_TAG2:-33596.467644_TAG3:63234.839208_TAG_END</t>
  </si>
  <si>
    <t>02:1310:075</t>
  </si>
  <si>
    <t>6412C5F</t>
  </si>
  <si>
    <t>619398</t>
  </si>
  <si>
    <t>TAG1:61C587_TAG2:-33292.970248_TAG3:63322.686455_TAG_END</t>
  </si>
  <si>
    <t>Secrétariat pneumologie</t>
  </si>
  <si>
    <t>02:1310:084</t>
  </si>
  <si>
    <t>6452324</t>
  </si>
  <si>
    <t>619384</t>
  </si>
  <si>
    <t>TAG1:61C588_TAG2:-33323.676171_TAG3:63322.247539_TAG_END</t>
  </si>
  <si>
    <t>Consultation</t>
  </si>
  <si>
    <t>02:1310:081</t>
  </si>
  <si>
    <t>6412B92</t>
  </si>
  <si>
    <t>619370</t>
  </si>
  <si>
    <t>TAG1:61C589_TAG2:-33272.581281_TAG3:63246.337747_TAG_END</t>
  </si>
  <si>
    <t>Consultation 7</t>
  </si>
  <si>
    <t>02:1310:082</t>
  </si>
  <si>
    <t>6412E19</t>
  </si>
  <si>
    <t>61935C</t>
  </si>
  <si>
    <t>TAG1:61C58A_TAG2:-33302.581281_TAG3:63246.337747_TAG_END</t>
  </si>
  <si>
    <t>Consultation 8</t>
  </si>
  <si>
    <t>02:1310:080</t>
  </si>
  <si>
    <t>640B323</t>
  </si>
  <si>
    <t>619348</t>
  </si>
  <si>
    <t>TAG1:61C58B_TAG2:-33332.581281_TAG3:63246.337747_TAG_END</t>
  </si>
  <si>
    <t>Dégagement vers assistantes</t>
  </si>
  <si>
    <t>02:1310:083</t>
  </si>
  <si>
    <t>640B343</t>
  </si>
  <si>
    <t>6192BC</t>
  </si>
  <si>
    <t>TAG1:61C58D_TAG2:-33484.585494_TAG3:63279.881558_TAG_END</t>
  </si>
  <si>
    <t>Admissions</t>
  </si>
  <si>
    <t>02:1310:072</t>
  </si>
  <si>
    <t>6412C30</t>
  </si>
  <si>
    <t>619208</t>
  </si>
  <si>
    <t>TAG1:61C58E_TAG2:-33631.882823_TAG3:63244.220596_TAG_END</t>
  </si>
  <si>
    <t>Assistantes</t>
  </si>
  <si>
    <t>02:1310:079</t>
  </si>
  <si>
    <t>64522A9</t>
  </si>
  <si>
    <t>6191E0</t>
  </si>
  <si>
    <t>TAG1:61C58F_TAG2:-33509.112740_TAG3:63282.453856_TAG_END</t>
  </si>
  <si>
    <t>Audiométrie</t>
  </si>
  <si>
    <t>02:1310:092</t>
  </si>
  <si>
    <t>6452526</t>
  </si>
  <si>
    <t>6191BF</t>
  </si>
  <si>
    <t>TAG1:61C56E_TAG2:-33417.747163_TAG3:63571.764893_TAG_END</t>
  </si>
  <si>
    <t>Stérilisation audio faux-plafond</t>
  </si>
  <si>
    <t>02:1310:091</t>
  </si>
  <si>
    <t>6452519</t>
  </si>
  <si>
    <t>6191B0</t>
  </si>
  <si>
    <t>TAG1:61C56F_TAG2:-33417.747163_TAG3:63541.764893_TAG_END</t>
  </si>
  <si>
    <t>Consultation 1</t>
  </si>
  <si>
    <t>02:1310:068</t>
  </si>
  <si>
    <t>6412CAF</t>
  </si>
  <si>
    <t>6191A1</t>
  </si>
  <si>
    <t>TAG1:61C570_TAG2:-33447.747163_TAG3:63571.764893_TAG_END</t>
  </si>
  <si>
    <t>Consultation 2</t>
  </si>
  <si>
    <t>02:1310:067</t>
  </si>
  <si>
    <t>640B4FA</t>
  </si>
  <si>
    <t>619192</t>
  </si>
  <si>
    <t>TAG1:61C571_TAG2:-33477.747163_TAG3:63571.764893_TAG_END</t>
  </si>
  <si>
    <t>Consultation 3</t>
  </si>
  <si>
    <t>02:1310:066</t>
  </si>
  <si>
    <t>640B3CB</t>
  </si>
  <si>
    <t>619183</t>
  </si>
  <si>
    <t>TAG1:61C572_TAG2:-33507.747163_TAG3:63571.764893_TAG_END</t>
  </si>
  <si>
    <t>Consultation 4</t>
  </si>
  <si>
    <t>02:1310:063</t>
  </si>
  <si>
    <t>6412E45</t>
  </si>
  <si>
    <t>619174</t>
  </si>
  <si>
    <t>TAG1:61C573_TAG2:-33537.747163_TAG3:63571.764893_TAG_END</t>
  </si>
  <si>
    <t>Stérilisation audio</t>
  </si>
  <si>
    <t>02:1310:090</t>
  </si>
  <si>
    <t>645249B</t>
  </si>
  <si>
    <t>619165</t>
  </si>
  <si>
    <t>TAG1:61C574_TAG2:-33447.747163_TAG3:63541.764893_TAG_END</t>
  </si>
  <si>
    <t>Rangement</t>
  </si>
  <si>
    <t>02:1310:089</t>
  </si>
  <si>
    <t>64521F0</t>
  </si>
  <si>
    <t>619156</t>
  </si>
  <si>
    <t>TAG1:61C575_TAG2:-33477.747163_TAG3:63541.764893_TAG_END</t>
  </si>
  <si>
    <t>ORL - consultation 5</t>
  </si>
  <si>
    <t>02:1310:094</t>
  </si>
  <si>
    <t>6452416</t>
  </si>
  <si>
    <t>619147</t>
  </si>
  <si>
    <t>TAG1:61C576_TAG2:-33507.747163_TAG3:63541.764893_TAG_END</t>
  </si>
  <si>
    <t>Local tableau électrique</t>
  </si>
  <si>
    <t>02:1310:101</t>
  </si>
  <si>
    <t>643F45B</t>
  </si>
  <si>
    <t>619138</t>
  </si>
  <si>
    <t>TAG1:61C577_TAG2:-33537.747163_TAG3:63541.764893_TAG_END</t>
  </si>
  <si>
    <t>Consultation 6</t>
  </si>
  <si>
    <t>02:1310:093</t>
  </si>
  <si>
    <t>643F4E6</t>
  </si>
  <si>
    <t>619129</t>
  </si>
  <si>
    <t>TAG1:61C578_TAG2:-33567.747163_TAG3:63571.764893_TAG_END</t>
  </si>
  <si>
    <t>Couloir liaison clp2-clp3</t>
  </si>
  <si>
    <t>02:1310:107</t>
  </si>
  <si>
    <t>645241A</t>
  </si>
  <si>
    <t>61911A</t>
  </si>
  <si>
    <t>TAG1:61C579_TAG2:-33627.747163_TAG3:63578.764893_TAG_END</t>
  </si>
  <si>
    <t>02:1310:102</t>
  </si>
  <si>
    <t>643F7B2</t>
  </si>
  <si>
    <t>61910B</t>
  </si>
  <si>
    <t>02:1310:104</t>
  </si>
  <si>
    <t>64522DE</t>
  </si>
  <si>
    <t>6190FC</t>
  </si>
  <si>
    <t>Wc hommes / faux-plafond</t>
  </si>
  <si>
    <t>02:1310:098</t>
  </si>
  <si>
    <t>643F791</t>
  </si>
  <si>
    <t>6190ED</t>
  </si>
  <si>
    <t>TAG1:61C57A_TAG2:-33687.747163_TAG3:63571.764893_TAG_END</t>
  </si>
  <si>
    <t>Local nettoyage</t>
  </si>
  <si>
    <t>02:1310:106</t>
  </si>
  <si>
    <t>6452417</t>
  </si>
  <si>
    <t>6190DE</t>
  </si>
  <si>
    <t>TAG1:61C57B_TAG2:-33567.747163_TAG3:63541.764893_TAG_END</t>
  </si>
  <si>
    <t>Examen ORL - consultation</t>
  </si>
  <si>
    <t>02:1310:095</t>
  </si>
  <si>
    <t>64520C2</t>
  </si>
  <si>
    <t>6190CF</t>
  </si>
  <si>
    <t>TAG1:61C57C_TAG2:-33597.747163_TAG3:63541.764893_TAG_END</t>
  </si>
  <si>
    <t>Couloir wc vers tableau électrique</t>
  </si>
  <si>
    <t>02:1310:097</t>
  </si>
  <si>
    <t>643F8DC</t>
  </si>
  <si>
    <t>6190C0</t>
  </si>
  <si>
    <t>TAG1:61C57D_TAG2:-33627.747163_TAG3:63541.764893_TAG_END</t>
  </si>
  <si>
    <t>Attente</t>
  </si>
  <si>
    <t>02:1310:085</t>
  </si>
  <si>
    <t>64524BE</t>
  </si>
  <si>
    <t>618FC1</t>
  </si>
  <si>
    <t>TAG1:61C590_TAG2:-33446.923249_TAG3:63310.586055_TAG_END</t>
  </si>
  <si>
    <t>Dégagement attente / faux-plafond</t>
  </si>
  <si>
    <t>02:1310:026</t>
  </si>
  <si>
    <t>645218D</t>
  </si>
  <si>
    <t>618D81</t>
  </si>
  <si>
    <t>TAG1:61C527_TAG2:-33355.693836_TAG3:62797.371429_TAG_END</t>
  </si>
  <si>
    <t>Sortie IRM faux-plafond</t>
  </si>
  <si>
    <t>02:1310:036</t>
  </si>
  <si>
    <t>64520A4</t>
  </si>
  <si>
    <t>618D50</t>
  </si>
  <si>
    <t>TAG1:61C528_TAG2:-33391.333871_TAG3:62797.371429_TAG_END</t>
  </si>
  <si>
    <t>4 ème étage</t>
  </si>
  <si>
    <t>Ca test effort faux-plafond</t>
  </si>
  <si>
    <t>02:1210:043</t>
  </si>
  <si>
    <t>643F3CA</t>
  </si>
  <si>
    <t>618CFE</t>
  </si>
  <si>
    <t>TAG1:61C611_TAG2:-33241.200654_TAG3:65399.477094_TAG_END</t>
  </si>
  <si>
    <t>Ca couloir bureau faux-plafond</t>
  </si>
  <si>
    <t>02:1210:039</t>
  </si>
  <si>
    <t>6462854</t>
  </si>
  <si>
    <t>618CCD</t>
  </si>
  <si>
    <t>TAG1:61C612_TAG2:-33338.127428_TAG3:65398.918293_TAG_END</t>
  </si>
  <si>
    <t>Sortie IRM</t>
  </si>
  <si>
    <t>02:1310:037</t>
  </si>
  <si>
    <t>6452434</t>
  </si>
  <si>
    <t>618C9C</t>
  </si>
  <si>
    <t>TAG1:61C529_TAG2:-33373.056504_TAG3:62675.603882_TAG_END</t>
  </si>
  <si>
    <t>Technique IRM</t>
  </si>
  <si>
    <t>02:1310:034</t>
  </si>
  <si>
    <t>643F8AE</t>
  </si>
  <si>
    <t>618C7E</t>
  </si>
  <si>
    <t>TAG1:61C52A_TAG2:-33433.056504_TAG3:62675.603882_TAG_END</t>
  </si>
  <si>
    <t>Ventilation</t>
  </si>
  <si>
    <t>02:1310:030</t>
  </si>
  <si>
    <t>643F904</t>
  </si>
  <si>
    <t>618C6F</t>
  </si>
  <si>
    <t>TAG1:61C52B_TAG2:-33463.056504_TAG3:62675.603882_TAG_END</t>
  </si>
  <si>
    <t>Dégagement liaison</t>
  </si>
  <si>
    <t>02:1310:047</t>
  </si>
  <si>
    <t>6462963</t>
  </si>
  <si>
    <t>618C51</t>
  </si>
  <si>
    <t>TAG1:61C52F_TAG2:-33383.056504_TAG3:62712.463476_TAG_END</t>
  </si>
  <si>
    <t>02:1310:045</t>
  </si>
  <si>
    <t>6462939</t>
  </si>
  <si>
    <t>618C42</t>
  </si>
  <si>
    <t>Dégagement radiologie</t>
  </si>
  <si>
    <t>02:1310:040</t>
  </si>
  <si>
    <t>643F8A3</t>
  </si>
  <si>
    <t>618C33</t>
  </si>
  <si>
    <t>TAG1:61C52C_TAG2:-33433.056504_TAG3:62698.817894_TAG_END</t>
  </si>
  <si>
    <t>Dépôt radiologie</t>
  </si>
  <si>
    <t>02:1310:043</t>
  </si>
  <si>
    <t>643F3A9</t>
  </si>
  <si>
    <t>618C24</t>
  </si>
  <si>
    <t>TAG1:61C52D_TAG2:-33463.056504_TAG3:62698.817894_TAG_END</t>
  </si>
  <si>
    <t>Examens fonct. 3</t>
  </si>
  <si>
    <t>02:1310:028</t>
  </si>
  <si>
    <t>6462723</t>
  </si>
  <si>
    <t>618C15</t>
  </si>
  <si>
    <t>TAG1:61C52E_TAG2:-33493.056504_TAG3:62698.817894_TAG_END</t>
  </si>
  <si>
    <t>02:1310:049</t>
  </si>
  <si>
    <t>643F2D8</t>
  </si>
  <si>
    <t>618C06</t>
  </si>
  <si>
    <t>Dégagement attente</t>
  </si>
  <si>
    <t>02:1310:024</t>
  </si>
  <si>
    <t>6412D93</t>
  </si>
  <si>
    <t>618BE8</t>
  </si>
  <si>
    <t>TAG1:61C530_TAG2:-33433.056504_TAG3:62718.754640_TAG_END</t>
  </si>
  <si>
    <t>Ca test effort</t>
  </si>
  <si>
    <t>02:1210:042</t>
  </si>
  <si>
    <t>6412AD1</t>
  </si>
  <si>
    <t>618BCA</t>
  </si>
  <si>
    <t>TAG1:61C613_TAG2:-33272.977162_TAG3:65399.470064_TAG_END</t>
  </si>
  <si>
    <t>Liaison gaine technique</t>
  </si>
  <si>
    <t>02:1310:048</t>
  </si>
  <si>
    <t>64626D3</t>
  </si>
  <si>
    <t>618B70</t>
  </si>
  <si>
    <t>TAG1:61C531_TAG2:-33543.274504_TAG3:62705.817894_TAG_END</t>
  </si>
  <si>
    <t>02:1310:046</t>
  </si>
  <si>
    <t>6452199</t>
  </si>
  <si>
    <t>618B61</t>
  </si>
  <si>
    <t>02:1310:042</t>
  </si>
  <si>
    <t>6452423</t>
  </si>
  <si>
    <t>618B52</t>
  </si>
  <si>
    <t>TAG1:61C532_TAG2:-33588.274504_TAG3:62698.817894_TAG_END</t>
  </si>
  <si>
    <t>Salle de lecture</t>
  </si>
  <si>
    <t>02:1310:039</t>
  </si>
  <si>
    <t>6462838</t>
  </si>
  <si>
    <t>618B43</t>
  </si>
  <si>
    <t>TAG1:61C533_TAG2:-33618.274504_TAG3:62698.817894_TAG_END</t>
  </si>
  <si>
    <t>Scanner</t>
  </si>
  <si>
    <t>02:1310:021</t>
  </si>
  <si>
    <t>64629F2</t>
  </si>
  <si>
    <t>618B34</t>
  </si>
  <si>
    <t>TAG1:61C534_TAG2:-33648.274504_TAG3:62698.817894_TAG_END</t>
  </si>
  <si>
    <t>Ca échographie</t>
  </si>
  <si>
    <t>02:1210:040</t>
  </si>
  <si>
    <t>6412ACF</t>
  </si>
  <si>
    <t>618B25</t>
  </si>
  <si>
    <t>TAG1:61C614_TAG2:-33308.195163_TAG3:65399.470064_TAG_END</t>
  </si>
  <si>
    <t>Ca couloir bureau</t>
  </si>
  <si>
    <t>02:1210:041</t>
  </si>
  <si>
    <t>640B543</t>
  </si>
  <si>
    <t>618B07</t>
  </si>
  <si>
    <t>TAG1:61C615_TAG2:-33383.195163_TAG3:65406.470064_TAG_END</t>
  </si>
  <si>
    <t>02:1210:038</t>
  </si>
  <si>
    <t>6412C6F</t>
  </si>
  <si>
    <t>618AF8</t>
  </si>
  <si>
    <t>Ca bureau</t>
  </si>
  <si>
    <t>02:1210:037</t>
  </si>
  <si>
    <t>6412C63</t>
  </si>
  <si>
    <t>618AE9</t>
  </si>
  <si>
    <t>TAG1:61C616_TAG2:-33428.195163_TAG3:65399.470064_TAG_END</t>
  </si>
  <si>
    <t>Couloir scanner</t>
  </si>
  <si>
    <t>02:1310:023</t>
  </si>
  <si>
    <t>643F907</t>
  </si>
  <si>
    <t>618ADA</t>
  </si>
  <si>
    <t>TAG1:61C535_TAG2:-33466.332502_TAG3:62719.147479_TAG_END</t>
  </si>
  <si>
    <t>Commande scanner</t>
  </si>
  <si>
    <t>02:1310:022</t>
  </si>
  <si>
    <t>643F31A</t>
  </si>
  <si>
    <t>618ACB</t>
  </si>
  <si>
    <t>TAG1:61C536_TAG2:-33496.332502_TAG3:62719.147479_TAG_END</t>
  </si>
  <si>
    <t>Commande radiologie</t>
  </si>
  <si>
    <t>02:1310:041</t>
  </si>
  <si>
    <t>643F463</t>
  </si>
  <si>
    <t>618ABC</t>
  </si>
  <si>
    <t>TAG1:61C537_TAG2:-33526.332502_TAG3:62719.147479_TAG_END</t>
  </si>
  <si>
    <t>Vestiaire hommes</t>
  </si>
  <si>
    <t>02:1310:017</t>
  </si>
  <si>
    <t>6412BCE</t>
  </si>
  <si>
    <t>618AAD</t>
  </si>
  <si>
    <t>TAG1:61C515_TAG2:-33299.620908_TAG3:62915.462990_TAG_END</t>
  </si>
  <si>
    <t>Vestiaire femmes</t>
  </si>
  <si>
    <t>02:1310:018</t>
  </si>
  <si>
    <t>640B590</t>
  </si>
  <si>
    <t>618A9E</t>
  </si>
  <si>
    <t>TAG1:61C516_TAG2:-33329.620908_TAG3:62915.462990_TAG_END</t>
  </si>
  <si>
    <t>Commande IRM</t>
  </si>
  <si>
    <t>02:1310:038</t>
  </si>
  <si>
    <t>643F438</t>
  </si>
  <si>
    <t>618A8F</t>
  </si>
  <si>
    <t>TAG1:61C538_TAG2:-33466.332502_TAG3:62742.361492_TAG_END</t>
  </si>
  <si>
    <t>climatisation</t>
  </si>
  <si>
    <t>02:1310:033</t>
  </si>
  <si>
    <t>643F3DE</t>
  </si>
  <si>
    <t>618A80</t>
  </si>
  <si>
    <t>TAG1:61C539_TAG2:-33496.332502_TAG3:62742.361492_TAG_END</t>
  </si>
  <si>
    <t>Cabine</t>
  </si>
  <si>
    <t>02:1310:035</t>
  </si>
  <si>
    <t>643F353</t>
  </si>
  <si>
    <t>618A71</t>
  </si>
  <si>
    <t>TAG1:61C53A_TAG2:-33526.332502_TAG3:62742.361492_TAG_END</t>
  </si>
  <si>
    <t>Salle d'attente cabinet</t>
  </si>
  <si>
    <t>02:1210:015</t>
  </si>
  <si>
    <t>6412DD5</t>
  </si>
  <si>
    <t>618A62</t>
  </si>
  <si>
    <t>TAG1:61C624_TAG2:-33735.526943_TAG3:65132.426384_TAG_END</t>
  </si>
  <si>
    <t>Réception</t>
  </si>
  <si>
    <t>02:1210:012</t>
  </si>
  <si>
    <t>640B5A2</t>
  </si>
  <si>
    <t>618A53</t>
  </si>
  <si>
    <t>TAG1:61C625_TAG2:-33559.658866_TAG3:65058.510486_TAG_END</t>
  </si>
  <si>
    <t>02:1210:014</t>
  </si>
  <si>
    <t>6412E49</t>
  </si>
  <si>
    <t>618A44</t>
  </si>
  <si>
    <t>02:1210:010</t>
  </si>
  <si>
    <t>640B43E</t>
  </si>
  <si>
    <t>618A35</t>
  </si>
  <si>
    <t>02:1210:017</t>
  </si>
  <si>
    <t>6412E2A</t>
  </si>
  <si>
    <t>618A26</t>
  </si>
  <si>
    <t>Gynécologie 2</t>
  </si>
  <si>
    <t>02:1210:019</t>
  </si>
  <si>
    <t>6412DC1</t>
  </si>
  <si>
    <t>618A08</t>
  </si>
  <si>
    <t>TAG1:61C626_TAG2:-33718.984870_TAG3:65099.384666_TAG_END</t>
  </si>
  <si>
    <t>Gynécologie 1</t>
  </si>
  <si>
    <t>02:1210:018</t>
  </si>
  <si>
    <t>640B562</t>
  </si>
  <si>
    <t>6189E7</t>
  </si>
  <si>
    <t>TAG1:61C627_TAG2:-33748.984870_TAG3:65099.384666_TAG_END</t>
  </si>
  <si>
    <t>Réception / faux-plafond</t>
  </si>
  <si>
    <t>02:1210:011</t>
  </si>
  <si>
    <t>643F903</t>
  </si>
  <si>
    <t>6189B6</t>
  </si>
  <si>
    <t>TAG1:61C628_TAG2:-33588.964377_TAG3:65148.586218_TAG_END</t>
  </si>
  <si>
    <t>02:1210:016</t>
  </si>
  <si>
    <t>6452236</t>
  </si>
  <si>
    <t>618985</t>
  </si>
  <si>
    <t>Hall ascenseurs / faux-plafond</t>
  </si>
  <si>
    <t>02:1210:004</t>
  </si>
  <si>
    <t>640B31D</t>
  </si>
  <si>
    <t>618920</t>
  </si>
  <si>
    <t>TAG1:61C600_TAG2:-33561.460714_TAG3:65228.652676_TAG_END</t>
  </si>
  <si>
    <t>Hall ascenseurs</t>
  </si>
  <si>
    <t>02:1210:013</t>
  </si>
  <si>
    <t>6412D6D</t>
  </si>
  <si>
    <t>6188ED</t>
  </si>
  <si>
    <t>TAG1:61C602_TAG2:-33578.408963_TAG3:65218.910542_TAG_END</t>
  </si>
  <si>
    <t>3 ème étage</t>
  </si>
  <si>
    <t>21 . bloc opératoire 2</t>
  </si>
  <si>
    <t>8. couloir nord</t>
  </si>
  <si>
    <t>02:0120:018</t>
  </si>
  <si>
    <t>5ABC51B</t>
  </si>
  <si>
    <t>618818</t>
  </si>
  <si>
    <t>TAG1:61C5D0_TAG2:-33539.822504_TAG3:64872.477365_TAG_END</t>
  </si>
  <si>
    <t>02:0120:021</t>
  </si>
  <si>
    <t>5ABC700</t>
  </si>
  <si>
    <t>6187F0</t>
  </si>
  <si>
    <t>02:0120:028</t>
  </si>
  <si>
    <t>5ABC3E0</t>
  </si>
  <si>
    <t>6187C8</t>
  </si>
  <si>
    <t>4. repos</t>
  </si>
  <si>
    <t>02:0120:023</t>
  </si>
  <si>
    <t>5ABC43D</t>
  </si>
  <si>
    <t>6187A0</t>
  </si>
  <si>
    <t>TAG1:61C5D7_TAG2:-33561.712474_TAG3:64887.901919_TAG_END</t>
  </si>
  <si>
    <t>5. matériel médical</t>
  </si>
  <si>
    <t>02:0120:025</t>
  </si>
  <si>
    <t>5ABC9EF</t>
  </si>
  <si>
    <t>618778</t>
  </si>
  <si>
    <t>TAG1:61C5D9_TAG2:-33572.048308_TAG3:64845.088931_TAG_END</t>
  </si>
  <si>
    <t>19. surveillance et pharmacie</t>
  </si>
  <si>
    <t>02:0120:092</t>
  </si>
  <si>
    <t>5ABC9ED</t>
  </si>
  <si>
    <t>618732</t>
  </si>
  <si>
    <t>TAG1:61C5ED_TAG2:-33436.653393_TAG3:64709.021978_TAG_END</t>
  </si>
  <si>
    <t>18 . salle de réveil box</t>
  </si>
  <si>
    <t>02:0120:090</t>
  </si>
  <si>
    <t>5ABCA28</t>
  </si>
  <si>
    <t>61870A</t>
  </si>
  <si>
    <t>TAG1:61C5EF_TAG2:-33467.033438_TAG3:64713.078721_TAG_END</t>
  </si>
  <si>
    <t>18. salle de réveil</t>
  </si>
  <si>
    <t>02:0120:096</t>
  </si>
  <si>
    <t>5ABC761</t>
  </si>
  <si>
    <t>6186E2</t>
  </si>
  <si>
    <t>TAG1:61C5F1_TAG2:-33465.835411_TAG3:64753.042966_TAG_END</t>
  </si>
  <si>
    <t>02:0120:099</t>
  </si>
  <si>
    <t>5ABC7AB</t>
  </si>
  <si>
    <t>6186BA</t>
  </si>
  <si>
    <t>02:0120:094</t>
  </si>
  <si>
    <t>5ABC9C2</t>
  </si>
  <si>
    <t>618692</t>
  </si>
  <si>
    <t>17. sas</t>
  </si>
  <si>
    <t>02:0120:071</t>
  </si>
  <si>
    <t>5ABC7CE</t>
  </si>
  <si>
    <t>61866A</t>
  </si>
  <si>
    <t>TAG1:61C5F3_TAG2:-33540.018487_TAG3:64735.931319_TAG_END</t>
  </si>
  <si>
    <t>16.vidoir</t>
  </si>
  <si>
    <t>02:0120:068</t>
  </si>
  <si>
    <t>5ABC7EA</t>
  </si>
  <si>
    <t>618642</t>
  </si>
  <si>
    <t>TAG1:61C5F5_TAG2:-33541.278478_TAG3:64760.691350_TAG_END</t>
  </si>
  <si>
    <t>26 . sas patients</t>
  </si>
  <si>
    <t>02:0120:059</t>
  </si>
  <si>
    <t>5ABCA0D</t>
  </si>
  <si>
    <t>61861A</t>
  </si>
  <si>
    <t>TAG1:61C5F7_TAG2:-33614.807097_TAG3:64740.266811_TAG_END</t>
  </si>
  <si>
    <t>28. déchets DMX</t>
  </si>
  <si>
    <t>02:0120:063</t>
  </si>
  <si>
    <t>5ABC81F</t>
  </si>
  <si>
    <t>6185F2</t>
  </si>
  <si>
    <t>TAG1:61C5F9_TAG2:-33614.947112_TAG3:64763.068431_TAG_END</t>
  </si>
  <si>
    <t>20. couloir sud</t>
  </si>
  <si>
    <t>02:0120:073</t>
  </si>
  <si>
    <t>5ABCC49</t>
  </si>
  <si>
    <t>6185B6</t>
  </si>
  <si>
    <t>TAG1:61C5CC_TAG2:-33553.483655_TAG3:64710.004778_TAG_END</t>
  </si>
  <si>
    <t>02:0120:087</t>
  </si>
  <si>
    <t>5ABC5F6</t>
  </si>
  <si>
    <t>61858E</t>
  </si>
  <si>
    <t>22. bloc opératoire 3</t>
  </si>
  <si>
    <t>02:0120:078</t>
  </si>
  <si>
    <t>5B76CF5</t>
  </si>
  <si>
    <t>618548</t>
  </si>
  <si>
    <t>TAG1:61C5FB_TAG2:-33557.720737_TAG3:64656.142073_TAG_END</t>
  </si>
  <si>
    <t>02:0120:076</t>
  </si>
  <si>
    <t>5AAF217</t>
  </si>
  <si>
    <t>618520</t>
  </si>
  <si>
    <t>02:0120:081</t>
  </si>
  <si>
    <t>5B76F6D</t>
  </si>
  <si>
    <t>6184F8</t>
  </si>
  <si>
    <t>TAG1:61C5FD_TAG2:-33486.419729_TAG3:64669.843817_TAG_END</t>
  </si>
  <si>
    <t>02:0120:083</t>
  </si>
  <si>
    <t>5B76D03</t>
  </si>
  <si>
    <t>6184D0</t>
  </si>
  <si>
    <t>23. bloc opératoire 1</t>
  </si>
  <si>
    <t>02:0120:051</t>
  </si>
  <si>
    <t>5ABC690</t>
  </si>
  <si>
    <t>6184A8</t>
  </si>
  <si>
    <t>TAG1:61C5FF_TAG2:-33629.017507_TAG3:64668.763957_TAG_END</t>
  </si>
  <si>
    <t>15. couloir public</t>
  </si>
  <si>
    <t>02:0120:106</t>
  </si>
  <si>
    <t>5ABC84F</t>
  </si>
  <si>
    <t>61844E</t>
  </si>
  <si>
    <t>TAG1:61C5CA_TAG2:-33541.707965_TAG3:64787.223391_TAG_END</t>
  </si>
  <si>
    <t>14. salle d'attente</t>
  </si>
  <si>
    <t>02:0120:102</t>
  </si>
  <si>
    <t>6471BFA</t>
  </si>
  <si>
    <t>618426</t>
  </si>
  <si>
    <t>TAG1:61C5C8_TAG2:-33420.162225_TAG3:64786.968821_TAG_END</t>
  </si>
  <si>
    <t>02:0120:104</t>
  </si>
  <si>
    <t>5ABC4EF</t>
  </si>
  <si>
    <t>6183FE</t>
  </si>
  <si>
    <t>29. lavage</t>
  </si>
  <si>
    <t>02:0120:042</t>
  </si>
  <si>
    <t>5ABC373</t>
  </si>
  <si>
    <t>6183D6</t>
  </si>
  <si>
    <t>TAG1:61C5E3_TAG2:-33685.609081_TAG3:64773.999353_TAG_END</t>
  </si>
  <si>
    <t>25. stock II équipement lourd</t>
  </si>
  <si>
    <t>02:0120:046</t>
  </si>
  <si>
    <t>5ABCA01</t>
  </si>
  <si>
    <t>6183AE</t>
  </si>
  <si>
    <t>TAG1:61C5E5_TAG2:-33685.868989_TAG3:64740.527172_TAG_END</t>
  </si>
  <si>
    <t>24. responsable bloc</t>
  </si>
  <si>
    <t>02:0120:048</t>
  </si>
  <si>
    <t>5ABC90E</t>
  </si>
  <si>
    <t>618386</t>
  </si>
  <si>
    <t>TAG1:61C5E7_TAG2:-33678.066273_TAG3:64706.247802_TAG_END</t>
  </si>
  <si>
    <t>1. stock stéril</t>
  </si>
  <si>
    <t>02:0120:038</t>
  </si>
  <si>
    <t>5ABC811</t>
  </si>
  <si>
    <t>61835E</t>
  </si>
  <si>
    <t>TAG1:61C5E9_TAG2:-33683.170424_TAG3:64848.140586_TAG_END</t>
  </si>
  <si>
    <t>3. sas</t>
  </si>
  <si>
    <t>02:0120:033</t>
  </si>
  <si>
    <t>5ABC90D</t>
  </si>
  <si>
    <t>618345</t>
  </si>
  <si>
    <t>TAG1:61C5DF_TAG2:-33611.141099_TAG3:64804.836272_TAG_END</t>
  </si>
  <si>
    <t>2. stock consommable</t>
  </si>
  <si>
    <t>02:0120:031</t>
  </si>
  <si>
    <t>5ABC23F</t>
  </si>
  <si>
    <t>61831D</t>
  </si>
  <si>
    <t>TAG1:61C5E1_TAG2:-33612.813929_TAG3:64841.190513_TAG_END</t>
  </si>
  <si>
    <t>13. bureau anesthésiste</t>
  </si>
  <si>
    <t>02:0120:014</t>
  </si>
  <si>
    <t>5ABC9E4</t>
  </si>
  <si>
    <t>6182BB</t>
  </si>
  <si>
    <t>TAG1:61C5DB_TAG2:-33422.295741_TAG3:64837.936305_TAG_END</t>
  </si>
  <si>
    <t>12. nettoyage</t>
  </si>
  <si>
    <t>02:0120:016</t>
  </si>
  <si>
    <t>5ABCA06</t>
  </si>
  <si>
    <t>618293</t>
  </si>
  <si>
    <t>TAG1:61C5DD_TAG2:-33423.368907_TAG3:64863.311406_TAG_END</t>
  </si>
  <si>
    <t>10. vestiaires hommes</t>
  </si>
  <si>
    <t>02:0120:012</t>
  </si>
  <si>
    <t>5ABC675</t>
  </si>
  <si>
    <t>61827A</t>
  </si>
  <si>
    <t>TAG1:61C5D1_TAG2:-33453.554931_TAG3:64826.625100_TAG_END</t>
  </si>
  <si>
    <t>11. adoucisseur</t>
  </si>
  <si>
    <t>02:0120:010</t>
  </si>
  <si>
    <t>5ABC32A</t>
  </si>
  <si>
    <t>618261</t>
  </si>
  <si>
    <t>TAG1:61C5D2_TAG2:-33469.725360_TAG3:64800.578479_TAG_END</t>
  </si>
  <si>
    <t>11. ballon  d'eau</t>
  </si>
  <si>
    <t>02:0120:011</t>
  </si>
  <si>
    <t>5ABC4E3</t>
  </si>
  <si>
    <t>618248</t>
  </si>
  <si>
    <t>TAG1:61C5D3_TAG2:-33501.090133_TAG3:64799.742739_TAG_END</t>
  </si>
  <si>
    <t>9. vestiaire femmes</t>
  </si>
  <si>
    <t>02:0120:009</t>
  </si>
  <si>
    <t>5ABC70B</t>
  </si>
  <si>
    <t>61822F</t>
  </si>
  <si>
    <t>TAG1:61C5D4_TAG2:-33518.096890_TAG3:64824.953695_TAG_END</t>
  </si>
  <si>
    <t>6. local électrique</t>
  </si>
  <si>
    <t>02:0120:008</t>
  </si>
  <si>
    <t>5ABC4DE</t>
  </si>
  <si>
    <t>618216</t>
  </si>
  <si>
    <t>TAG1:61C5D5_TAG2:-33535.521896_TAG3:64821.610809_TAG_END</t>
  </si>
  <si>
    <t>6181F7</t>
  </si>
  <si>
    <t>27. couloir ouest</t>
  </si>
  <si>
    <t>02:0120:057</t>
  </si>
  <si>
    <t>5ABCA30</t>
  </si>
  <si>
    <t>6181CF</t>
  </si>
  <si>
    <t>TAG1:61C5CE_TAG2:-33645.365978_TAG3:64779.846149_TAG_END</t>
  </si>
  <si>
    <t>02:0120:035</t>
  </si>
  <si>
    <t>5ABC5D2</t>
  </si>
  <si>
    <t>6181A7</t>
  </si>
  <si>
    <t>02:0120:044</t>
  </si>
  <si>
    <t>5ABCCCE</t>
  </si>
  <si>
    <t>616E98</t>
  </si>
  <si>
    <t>30. conditionnement</t>
  </si>
  <si>
    <t>02:0120:039</t>
  </si>
  <si>
    <t>5ABC461</t>
  </si>
  <si>
    <t>616E7F</t>
  </si>
  <si>
    <t>TAG1:61C5EB_TAG2:-33683.170890_TAG3:64811.690853_TAG_END</t>
  </si>
  <si>
    <t>Cage d'escaliers</t>
  </si>
  <si>
    <t>02:0120:107</t>
  </si>
  <si>
    <t>5ABCC73</t>
  </si>
  <si>
    <t>616E5E</t>
  </si>
  <si>
    <t>TAG1:61C64C_TAG2:-33576.213895_TAG3:64475.566106_TAG_END</t>
  </si>
  <si>
    <t>02:0120:054</t>
  </si>
  <si>
    <t>5ABCA0B</t>
  </si>
  <si>
    <t>616E36</t>
  </si>
  <si>
    <t>2 ème étage</t>
  </si>
  <si>
    <t>Local poubelle - nettoyage</t>
  </si>
  <si>
    <t>02:1220:005</t>
  </si>
  <si>
    <t>640B5E9</t>
  </si>
  <si>
    <t>5FE24E</t>
  </si>
  <si>
    <t>TAG1:61C5BA_TAG2:-33653.005087_TAG3:64191.686240_TAG_END</t>
  </si>
  <si>
    <t>02:1220:006</t>
  </si>
  <si>
    <t>640B4F0</t>
  </si>
  <si>
    <t>5FE235</t>
  </si>
  <si>
    <t>TAG1:61C5BB_TAG2:-33683.095510_TAG3:64191.292140_TAG_END</t>
  </si>
  <si>
    <t>Diététicienne et gouvernante</t>
  </si>
  <si>
    <t>02:1220:017</t>
  </si>
  <si>
    <t>640B608</t>
  </si>
  <si>
    <t>5FE21C</t>
  </si>
  <si>
    <t>TAG1:61C5AC_TAG2:-33556.490447_TAG3:64501.589335_TAG_END</t>
  </si>
  <si>
    <t>Vestiaires dames</t>
  </si>
  <si>
    <t>02:1220:018</t>
  </si>
  <si>
    <t>6412B55</t>
  </si>
  <si>
    <t>5FE203</t>
  </si>
  <si>
    <t>TAG1:61C5AD_TAG2:-33581.158675_TAG3:64528.557755_TAG_END</t>
  </si>
  <si>
    <t>Vestiaires hommes</t>
  </si>
  <si>
    <t>02:1220:019</t>
  </si>
  <si>
    <t>640B2CC</t>
  </si>
  <si>
    <t>5FE1EA</t>
  </si>
  <si>
    <t>TAG1:61C5AE_TAG2:-33596.234398_TAG3:64500.891161_TAG_END</t>
  </si>
  <si>
    <t>Couloir / faux-plafond</t>
  </si>
  <si>
    <t>02:1220:009</t>
  </si>
  <si>
    <t>6452422</t>
  </si>
  <si>
    <t>5FE1DB</t>
  </si>
  <si>
    <t>TAG1:61C5B8_TAG2:-33370.409559_TAG3:64392.825927_TAG_END</t>
  </si>
  <si>
    <t>02:1220:028</t>
  </si>
  <si>
    <t>643F3E8</t>
  </si>
  <si>
    <t>5FE1CC</t>
  </si>
  <si>
    <t>02:1220:003</t>
  </si>
  <si>
    <t>6462742</t>
  </si>
  <si>
    <t>5FE1BD</t>
  </si>
  <si>
    <t>02:1220:008</t>
  </si>
  <si>
    <t>6412AFC</t>
  </si>
  <si>
    <t>5FE1A4</t>
  </si>
  <si>
    <t>TAG1:61C5B9_TAG2:-33370.012113_TAG3:64415.415977_TAG_END</t>
  </si>
  <si>
    <t>02:1220:027</t>
  </si>
  <si>
    <t>6412D6C</t>
  </si>
  <si>
    <t>5FE18B</t>
  </si>
  <si>
    <t>02:1220:001</t>
  </si>
  <si>
    <t>6412D7F</t>
  </si>
  <si>
    <t>5FE17C</t>
  </si>
  <si>
    <t>Couloir faux-plafond</t>
  </si>
  <si>
    <t>02:1220:043</t>
  </si>
  <si>
    <t>64522A8</t>
  </si>
  <si>
    <t>5FE11E</t>
  </si>
  <si>
    <t>TAG1:61C59B_TAG2:-33291.866655_TAG3:63896.744135_TAG_END</t>
  </si>
  <si>
    <t>02:1220:038</t>
  </si>
  <si>
    <t>64628C9</t>
  </si>
  <si>
    <t>5FE106</t>
  </si>
  <si>
    <t>02:1220:063</t>
  </si>
  <si>
    <t>6462739</t>
  </si>
  <si>
    <t>5FE0EE</t>
  </si>
  <si>
    <t>02:1220:056</t>
  </si>
  <si>
    <t>643F419</t>
  </si>
  <si>
    <t>5FE0D6</t>
  </si>
  <si>
    <t>02:1220:044</t>
  </si>
  <si>
    <t>640B61E</t>
  </si>
  <si>
    <t>5FE0C7</t>
  </si>
  <si>
    <t>TAG1:61C59C_TAG2:-33269.609831_TAG3:63854.033854_TAG_END</t>
  </si>
  <si>
    <t>02:1220:046</t>
  </si>
  <si>
    <t>640B654</t>
  </si>
  <si>
    <t>5FE0B8</t>
  </si>
  <si>
    <t>02:1220:036</t>
  </si>
  <si>
    <t>6412BDE</t>
  </si>
  <si>
    <t>5FE0A9</t>
  </si>
  <si>
    <t>02:1220:064</t>
  </si>
  <si>
    <t>6412E1E</t>
  </si>
  <si>
    <t>5FE09A</t>
  </si>
  <si>
    <t>02:1220:059</t>
  </si>
  <si>
    <t>6412E5D</t>
  </si>
  <si>
    <t>5FE08B</t>
  </si>
  <si>
    <t>Hall radiographie</t>
  </si>
  <si>
    <t>02:1210:057</t>
  </si>
  <si>
    <t>640B3F1</t>
  </si>
  <si>
    <t>5FDFF0</t>
  </si>
  <si>
    <t>TAG1:61C617_TAG2:-33221.656162_TAG3:65304.360767_TAG_END</t>
  </si>
  <si>
    <t>Hall nouveau monte-lits</t>
  </si>
  <si>
    <t>02:1210:052</t>
  </si>
  <si>
    <t>640B530</t>
  </si>
  <si>
    <t>5FDFE1</t>
  </si>
  <si>
    <t>TAG1:61C618_TAG2:-33271.656162_TAG3:65304.360767_TAG_END</t>
  </si>
  <si>
    <t>Bureau médecin 2</t>
  </si>
  <si>
    <t>02:1210:045</t>
  </si>
  <si>
    <t>640B381</t>
  </si>
  <si>
    <t>5FDFD2</t>
  </si>
  <si>
    <t>TAG1:61C619_TAG2:-33321.656162_TAG3:65304.360767_TAG_END</t>
  </si>
  <si>
    <t>Bureau médecin 1</t>
  </si>
  <si>
    <t>02:1210:055</t>
  </si>
  <si>
    <t>640B349</t>
  </si>
  <si>
    <t>5FDFC3</t>
  </si>
  <si>
    <t>TAG1:61C61A_TAG2:-33371.656162_TAG3:65304.360767_TAG_END</t>
  </si>
  <si>
    <t>Bureau médecin 4</t>
  </si>
  <si>
    <t>02:1210:007</t>
  </si>
  <si>
    <t>6412E74</t>
  </si>
  <si>
    <t>5FDFB4</t>
  </si>
  <si>
    <t>TAG1:61C621_TAG2:-33425.559950_TAG3:65133.459682_TAG_END</t>
  </si>
  <si>
    <t>Salle de soins</t>
  </si>
  <si>
    <t>02:1210:046</t>
  </si>
  <si>
    <t>6412D9E</t>
  </si>
  <si>
    <t>5FDFA5</t>
  </si>
  <si>
    <t>TAG1:61C61B_TAG2:-33221.656162_TAG3:65254.360767_TAG_END</t>
  </si>
  <si>
    <t>02:1210:044</t>
  </si>
  <si>
    <t>6412DB4</t>
  </si>
  <si>
    <t>5FDF96</t>
  </si>
  <si>
    <t>TAG1:61C61C_TAG2:-33271.656162_TAG3:65254.360767_TAG_END</t>
  </si>
  <si>
    <t>02:1210:056</t>
  </si>
  <si>
    <t>6412E4D</t>
  </si>
  <si>
    <t>5FDF87</t>
  </si>
  <si>
    <t>TAG1:61C61D_TAG2:-33321.656162_TAG3:65254.360767_TAG_END</t>
  </si>
  <si>
    <t>Local électrique</t>
  </si>
  <si>
    <t>02:1210:049</t>
  </si>
  <si>
    <t>6412D24</t>
  </si>
  <si>
    <t>5FDF78</t>
  </si>
  <si>
    <t>TAG1:61C61E_TAG2:-33371.656162_TAG3:65254.360767_TAG_END</t>
  </si>
  <si>
    <t>Bureau médecin 5</t>
  </si>
  <si>
    <t>02:1210:008</t>
  </si>
  <si>
    <t>643F698</t>
  </si>
  <si>
    <t>5FDF69</t>
  </si>
  <si>
    <t>TAG1:61C622_TAG2:-33439.132302_TAG3:65070.145187_TAG_END</t>
  </si>
  <si>
    <t>Accès trappe</t>
  </si>
  <si>
    <t>02:1310:008</t>
  </si>
  <si>
    <t>640B4AC</t>
  </si>
  <si>
    <t>5FDDF2</t>
  </si>
  <si>
    <t>TAG1:61C644_TAG2:-33444.432731_TAG3:66196.261566_TAG_END</t>
  </si>
  <si>
    <t>5 ème étage suites</t>
  </si>
  <si>
    <t>Trémie monte-lits</t>
  </si>
  <si>
    <t>02:1210:053</t>
  </si>
  <si>
    <t>8B387C0</t>
  </si>
  <si>
    <t>5FDCAA</t>
  </si>
  <si>
    <t>TAG1:61C64E_TAG2:-33403.850868_TAG3:65663.450042_TAG_END</t>
  </si>
  <si>
    <t>Suite la prairie chambre</t>
  </si>
  <si>
    <t>02:0110:035</t>
  </si>
  <si>
    <t>647EF80</t>
  </si>
  <si>
    <t>5FC26A</t>
  </si>
  <si>
    <t>TAG1:61C62A_TAG2:-33518.957441_TAG3:65739.958068_TAG_END</t>
  </si>
  <si>
    <t>Suite la prairie séjour</t>
  </si>
  <si>
    <t>02:0110:034</t>
  </si>
  <si>
    <t>647EFCD</t>
  </si>
  <si>
    <t>5FC24F</t>
  </si>
  <si>
    <t>TAG1:61C62B_TAG2:-33563.572365_TAG3:65736.090379_TAG_END</t>
  </si>
  <si>
    <t>Suite la prairie hall</t>
  </si>
  <si>
    <t>02:0110:037</t>
  </si>
  <si>
    <t>6471DFB</t>
  </si>
  <si>
    <t>5FC234</t>
  </si>
  <si>
    <t>TAG1:61C62C_TAG2:-33543.996001_TAG3:65702.385493_TAG_END</t>
  </si>
  <si>
    <t>Suite la prairie salle de bain</t>
  </si>
  <si>
    <t>02:0110:036</t>
  </si>
  <si>
    <t>643F8D5</t>
  </si>
  <si>
    <t>08 (OOT): High suppression/08 (OOT): High suppression</t>
  </si>
  <si>
    <t>5FC219</t>
  </si>
  <si>
    <t>TAG1:61C62D_TAG2:-33517.275611_TAG3:65703.351210_TAG_END</t>
  </si>
  <si>
    <t>02:1310:002</t>
  </si>
  <si>
    <t>640B2BD</t>
  </si>
  <si>
    <t>5FC1FE</t>
  </si>
  <si>
    <t>TAG1:61C64D_TAG2:-33578.424813_TAG3:65664.846404_TAG_END</t>
  </si>
  <si>
    <t>5FC120</t>
  </si>
  <si>
    <t>5FC10B</t>
  </si>
  <si>
    <t>5FC0F6</t>
  </si>
  <si>
    <t>5F008C</t>
  </si>
  <si>
    <t>5EFF69</t>
  </si>
  <si>
    <t>5EFF54</t>
  </si>
  <si>
    <t>5EFF3F</t>
  </si>
  <si>
    <t>5EFF2A</t>
  </si>
  <si>
    <t>5EFF15</t>
  </si>
  <si>
    <t>5EFF00</t>
  </si>
  <si>
    <t>5EFEEB</t>
  </si>
  <si>
    <t>5EFED6</t>
  </si>
  <si>
    <t>5EFEC1</t>
  </si>
  <si>
    <t>5EFEAC</t>
  </si>
  <si>
    <t>Séchage</t>
  </si>
  <si>
    <t>02:1210:023</t>
  </si>
  <si>
    <t>6412DB3</t>
  </si>
  <si>
    <t>5CC707</t>
  </si>
  <si>
    <t>TAG1:61C603_TAG2:-33665.051119_TAG3:65252.835913_TAG_END</t>
  </si>
  <si>
    <t>Ga I   faux-plafond</t>
  </si>
  <si>
    <t>02:1210:030</t>
  </si>
  <si>
    <t>646295C</t>
  </si>
  <si>
    <t>5CC6E6</t>
  </si>
  <si>
    <t>TAG1:61C604_TAG2:-33663.146691_TAG3:65298.652389_TAG_END</t>
  </si>
  <si>
    <t>Dégagement  faux-plafond</t>
  </si>
  <si>
    <t>02:1210:032</t>
  </si>
  <si>
    <t>64629E6</t>
  </si>
  <si>
    <t>5CC6D5</t>
  </si>
  <si>
    <t>TAG1:61C605_TAG2:-33666.667471_TAG3:65271.141346_TAG_END</t>
  </si>
  <si>
    <t>Lavage  faux-plafond</t>
  </si>
  <si>
    <t>02:1210:021</t>
  </si>
  <si>
    <t>55EB237</t>
  </si>
  <si>
    <t>5CC6C4</t>
  </si>
  <si>
    <t>TAG1:61C606_TAG2:-33666.347585_TAG3:65230.454896_TAG_END</t>
  </si>
  <si>
    <t>Ga endo  faux-plafond</t>
  </si>
  <si>
    <t>02:1210:026</t>
  </si>
  <si>
    <t>64626CD</t>
  </si>
  <si>
    <t>5CC6B3</t>
  </si>
  <si>
    <t>TAG1:61C607_TAG2:-33707.462825_TAG3:65235.177990_TAG_END</t>
  </si>
  <si>
    <t>Ga repos  faux-plafond</t>
  </si>
  <si>
    <t>02:1210:028</t>
  </si>
  <si>
    <t>646283B</t>
  </si>
  <si>
    <t>5CC6A2</t>
  </si>
  <si>
    <t>TAG1:61C608_TAG2:-33708.381647_TAG3:65292.793463_TAG_END</t>
  </si>
  <si>
    <t>Attente ga+ca faux-plafond</t>
  </si>
  <si>
    <t>02:1210:035</t>
  </si>
  <si>
    <t>64524FA</t>
  </si>
  <si>
    <t>5CC691</t>
  </si>
  <si>
    <t>TAG1:61C609_TAG2:-33631.573540_TAG3:65297.016641_TAG_END</t>
  </si>
  <si>
    <t>02:1210:001</t>
  </si>
  <si>
    <t>6412D0F</t>
  </si>
  <si>
    <t>5CBA49</t>
  </si>
  <si>
    <t>Réception secrétariat</t>
  </si>
  <si>
    <t>02:1210:036</t>
  </si>
  <si>
    <t>640B364</t>
  </si>
  <si>
    <t>5CBA03</t>
  </si>
  <si>
    <t>TAG1:61C60A_TAG2:-33638.177325_TAG3:65311.173920_TAG_END</t>
  </si>
  <si>
    <t>Attente ga+ca</t>
  </si>
  <si>
    <t>02:1210:033</t>
  </si>
  <si>
    <t>640B4AE</t>
  </si>
  <si>
    <t>5CB9F2</t>
  </si>
  <si>
    <t>TAG1:61C60B_TAG2:-33628.972489_TAG3:65269.603133_TAG_END</t>
  </si>
  <si>
    <t>02:1210:024</t>
  </si>
  <si>
    <t>6412B9C</t>
  </si>
  <si>
    <t>5CB9E1</t>
  </si>
  <si>
    <t>TAG1:61C60C_TAG2:-33684.053518_TAG3:65259.459458_TAG_END</t>
  </si>
  <si>
    <t>Ga I</t>
  </si>
  <si>
    <t>02:1210:029</t>
  </si>
  <si>
    <t>640B347</t>
  </si>
  <si>
    <t>5CB9D0</t>
  </si>
  <si>
    <t>TAG1:61C60D_TAG2:-33671.538187_TAG3:65296.528204_TAG_END</t>
  </si>
  <si>
    <t>Ga repos</t>
  </si>
  <si>
    <t>02:1210:027</t>
  </si>
  <si>
    <t>640B2BB</t>
  </si>
  <si>
    <t>5CB9BF</t>
  </si>
  <si>
    <t>TAG1:61C60E_TAG2:-33714.937754_TAG3:65290.649380_TAG_END</t>
  </si>
  <si>
    <t>Ga endo</t>
  </si>
  <si>
    <t>02:1210:025</t>
  </si>
  <si>
    <t>6412D4F</t>
  </si>
  <si>
    <t>5CB9AE</t>
  </si>
  <si>
    <t>TAG1:61C60F_TAG2:-33714.143783_TAG3:65233.158760_TAG_END</t>
  </si>
  <si>
    <t>Lavage</t>
  </si>
  <si>
    <t>02:1210:022</t>
  </si>
  <si>
    <t>6412E91</t>
  </si>
  <si>
    <t>5CB99D</t>
  </si>
  <si>
    <t>TAG1:61C610_TAG2:-33660.131120_TAG3:65228.435665_TAG_END</t>
  </si>
  <si>
    <t>02:1210:005</t>
  </si>
  <si>
    <t>643D30C</t>
  </si>
  <si>
    <t>5CB98C</t>
  </si>
  <si>
    <t>TAG1:61C601_TAG2:-33559.925462_TAG3:65246.816528_TAG_END</t>
  </si>
  <si>
    <t>02:1210:003</t>
  </si>
  <si>
    <t>646293A</t>
  </si>
  <si>
    <t>5CB97B</t>
  </si>
  <si>
    <t>02:1310:061</t>
  </si>
  <si>
    <t>6412CD0</t>
  </si>
  <si>
    <t>5C9ED7</t>
  </si>
  <si>
    <t>Sas sous-station électrique</t>
  </si>
  <si>
    <t>02:1310:100</t>
  </si>
  <si>
    <t>8BB0B1C</t>
  </si>
  <si>
    <t>5C9EC6</t>
  </si>
  <si>
    <t>TAG1:61C57F_TAG2:-33411.143694_TAG3:63434.689063_TAG_END</t>
  </si>
  <si>
    <t>Sous-station électrique</t>
  </si>
  <si>
    <t>02:1310:099</t>
  </si>
  <si>
    <t>8A8EB09</t>
  </si>
  <si>
    <t>5C9EB5</t>
  </si>
  <si>
    <t>TAG1:61C580_TAG2:-33442.946578_TAG3:63434.689063_TAG_END</t>
  </si>
  <si>
    <t xml:space="preserve"> </t>
  </si>
  <si>
    <t>5C7604</t>
  </si>
  <si>
    <t>5C75EB</t>
  </si>
  <si>
    <t>Centrale ventilation</t>
  </si>
  <si>
    <t>02:1310:004</t>
  </si>
  <si>
    <t>640B453</t>
  </si>
  <si>
    <t>5C75D2</t>
  </si>
  <si>
    <t>TAG1:61C645_TAG2:-33555.904169_TAG3:66159.625423_TAG_END</t>
  </si>
  <si>
    <t>02:1310:003</t>
  </si>
  <si>
    <t>640B2F1</t>
  </si>
  <si>
    <t>5C75B9</t>
  </si>
  <si>
    <t>5C758B</t>
  </si>
  <si>
    <t>5C7572</t>
  </si>
  <si>
    <t>5C7553</t>
  </si>
  <si>
    <t>5C7534</t>
  </si>
  <si>
    <t>5C751B</t>
  </si>
  <si>
    <t>5C7502</t>
  </si>
  <si>
    <t>5C74E9</t>
  </si>
  <si>
    <t>Ophtalmo</t>
  </si>
  <si>
    <t>02:1310:014</t>
  </si>
  <si>
    <t>6412E12</t>
  </si>
  <si>
    <t>5C74B1</t>
  </si>
  <si>
    <t>TAG1:61C517_TAG2:-33393.732384_TAG3:62949.172519_TAG_END</t>
  </si>
  <si>
    <t>02:1310:015</t>
  </si>
  <si>
    <t>6412C97</t>
  </si>
  <si>
    <t>5C7498</t>
  </si>
  <si>
    <t>TAG1:61C518_TAG2:-33420.234788_TAG3:62949.172519_TAG_END</t>
  </si>
  <si>
    <t>Courant faible / centrale feu</t>
  </si>
  <si>
    <t>02:1310:009</t>
  </si>
  <si>
    <t>640B552</t>
  </si>
  <si>
    <t>5C747F</t>
  </si>
  <si>
    <t>TAG1:61C519_TAG2:-33509.034067_TAG3:62929.471549_TAG_END</t>
  </si>
  <si>
    <t>Tableau électrique</t>
  </si>
  <si>
    <t>02:1310:058</t>
  </si>
  <si>
    <t>640B2D0</t>
  </si>
  <si>
    <t>5C7466</t>
  </si>
  <si>
    <t>TAG1:61C51A_TAG2:-33509.422383_TAG3:62915.161396_TAG_END</t>
  </si>
  <si>
    <t>Couloir service</t>
  </si>
  <si>
    <t>02:1310:057</t>
  </si>
  <si>
    <t>6412D76</t>
  </si>
  <si>
    <t>5C744D</t>
  </si>
  <si>
    <t>TAG1:61C51B_TAG2:-33548.418073_TAG3:62912.723880_TAG_END</t>
  </si>
  <si>
    <t>02:1310:055</t>
  </si>
  <si>
    <t>6412D5C</t>
  </si>
  <si>
    <t>5C7434</t>
  </si>
  <si>
    <t>TAG1:61C51C_TAG2:-33552.469924_TAG3:62957.899081_TAG_END</t>
  </si>
  <si>
    <t>Abri 2 / dépôt pharmacie</t>
  </si>
  <si>
    <t>02:1310:054</t>
  </si>
  <si>
    <t>640B482</t>
  </si>
  <si>
    <t>5C741B</t>
  </si>
  <si>
    <t>TAG1:61C51D_TAG2:-33604.940317_TAG3:62957.683088_TAG_END</t>
  </si>
  <si>
    <t>Abri 1 / dépôt gouvernante</t>
  </si>
  <si>
    <t>02:1310:053</t>
  </si>
  <si>
    <t>640B457</t>
  </si>
  <si>
    <t>5C7402</t>
  </si>
  <si>
    <t>TAG1:61C51E_TAG2:-33604.940317_TAG3:62893.211934_TAG_END</t>
  </si>
  <si>
    <t>Archives</t>
  </si>
  <si>
    <t>02:1310:052</t>
  </si>
  <si>
    <t>640B5F0</t>
  </si>
  <si>
    <t>5C73E9</t>
  </si>
  <si>
    <t>TAG1:61C51F_TAG2:-33556.457144_TAG3:62876.574915_TAG_END</t>
  </si>
  <si>
    <t>Machinerie ascenseur</t>
  </si>
  <si>
    <t>02:1310:050</t>
  </si>
  <si>
    <t>640B493</t>
  </si>
  <si>
    <t>5C73D0</t>
  </si>
  <si>
    <t>TAG1:61C520_TAG2:-33534.000413_TAG3:62873.090649_TAG_END</t>
  </si>
  <si>
    <t>Nettoyage</t>
  </si>
  <si>
    <t>02:1310:051</t>
  </si>
  <si>
    <t>6412E17</t>
  </si>
  <si>
    <t>5C73B7</t>
  </si>
  <si>
    <t>TAG1:61C521_TAG2:-33517.102106_TAG3:62873.087415_TAG_END</t>
  </si>
  <si>
    <t>Dégagement vers escaliers</t>
  </si>
  <si>
    <t>02:1310:019</t>
  </si>
  <si>
    <t>6412CC2</t>
  </si>
  <si>
    <t>5C739E</t>
  </si>
  <si>
    <t>TAG1:61C522_TAG2:-33471.173490_TAG3:62888.235972_TAG_END</t>
  </si>
  <si>
    <t>5C7385</t>
  </si>
  <si>
    <t>5C736C</t>
  </si>
  <si>
    <t>Réception ophtalmo</t>
  </si>
  <si>
    <t>02:1310:016</t>
  </si>
  <si>
    <t>640B353</t>
  </si>
  <si>
    <t>5C7353</t>
  </si>
  <si>
    <t>TAG1:61C523_TAG2:-33407.315441_TAG3:62892.649434_TAG_END</t>
  </si>
  <si>
    <t>Local technique - ventilation</t>
  </si>
  <si>
    <t>02:1210:020</t>
  </si>
  <si>
    <t>643F54E</t>
  </si>
  <si>
    <t>5C733D</t>
  </si>
  <si>
    <t>TAG1:61C629_TAG2:-33675.632913_TAG3:65186.334175_TAG_END</t>
  </si>
  <si>
    <t>5C7320</t>
  </si>
  <si>
    <t>Suite impériale dépôt</t>
  </si>
  <si>
    <t>02:0110:017</t>
  </si>
  <si>
    <t>647F00D</t>
  </si>
  <si>
    <t>5C7304</t>
  </si>
  <si>
    <t>TAG1:61C632_TAG2:-33516.475901_TAG3:65619.364417_TAG_END</t>
  </si>
  <si>
    <t>Suite impériale hall dépôt</t>
  </si>
  <si>
    <t>02:0110:019</t>
  </si>
  <si>
    <t>647F04F</t>
  </si>
  <si>
    <t>5C72E9</t>
  </si>
  <si>
    <t>TAG1:61C633_TAG2:-33530.289840_TAG3:65620.798838_TAG_END</t>
  </si>
  <si>
    <t>Suite impériale sortie terrasse étage</t>
  </si>
  <si>
    <t>02:0110:018</t>
  </si>
  <si>
    <t>6472225</t>
  </si>
  <si>
    <t>5C72CE</t>
  </si>
  <si>
    <t>TAG1:61C634_TAG2:-33518.374871_TAG3:65641.602872_TAG_END</t>
  </si>
  <si>
    <t>Suite impériale chambre 2</t>
  </si>
  <si>
    <t>02:0110:016</t>
  </si>
  <si>
    <t>647F096</t>
  </si>
  <si>
    <t>5C72B3</t>
  </si>
  <si>
    <t>TAG1:61C635_TAG2:-33470.168914_TAG3:65576.675487_TAG_END</t>
  </si>
  <si>
    <t>Suite impériale dégagement</t>
  </si>
  <si>
    <t>02:0110:022</t>
  </si>
  <si>
    <t>6471DDB</t>
  </si>
  <si>
    <t>5C7298</t>
  </si>
  <si>
    <t>TAG1:61C636_TAG2:-33584.014381_TAG3:65593.333731_TAG_END</t>
  </si>
  <si>
    <t>Suite impériale entrée</t>
  </si>
  <si>
    <t>02:0110:020</t>
  </si>
  <si>
    <t>6471C63</t>
  </si>
  <si>
    <t>5C727D</t>
  </si>
  <si>
    <t>TAG1:61C637_TAG2:-33547.569322_TAG3:65619.404792_TAG_END</t>
  </si>
  <si>
    <t>Suite impériale séjour</t>
  </si>
  <si>
    <t>02:0110:021</t>
  </si>
  <si>
    <t>647EE95</t>
  </si>
  <si>
    <t>5C7262</t>
  </si>
  <si>
    <t>TAG1:61C638_TAG2:-33542.180578_TAG3:65564.836630_TAG_END</t>
  </si>
  <si>
    <t>Suite impériale circulation</t>
  </si>
  <si>
    <t>02:0110:025</t>
  </si>
  <si>
    <t>647EF87</t>
  </si>
  <si>
    <t>5C7247</t>
  </si>
  <si>
    <t>TAG1:61C639_TAG2:-33611.233907_TAG3:65595.084102_TAG_END</t>
  </si>
  <si>
    <t>Suite impériale dressing</t>
  </si>
  <si>
    <t>02:0110:024</t>
  </si>
  <si>
    <t>647F015</t>
  </si>
  <si>
    <t>5C722C</t>
  </si>
  <si>
    <t>TAG1:61C63A_TAG2:-33623.320197_TAG3:65573.566791_TAG_END</t>
  </si>
  <si>
    <t>Suite impériale cuisine</t>
  </si>
  <si>
    <t>02:0110:023</t>
  </si>
  <si>
    <t>6452120</t>
  </si>
  <si>
    <t>05 (OOT): Suppression/05 (OOT): Suppression</t>
  </si>
  <si>
    <t>5C7211</t>
  </si>
  <si>
    <t>TAG1:61C63B_TAG2:-33600.282430_TAG3:65552.844266_TAG_END</t>
  </si>
  <si>
    <t>Suite impériale chambre 1</t>
  </si>
  <si>
    <t>02:0110:026</t>
  </si>
  <si>
    <t>6471BEE</t>
  </si>
  <si>
    <t>5C71F6</t>
  </si>
  <si>
    <t>TAG1:61C63C_TAG2:-33662.857184_TAG3:65590.375651_TAG_END</t>
  </si>
  <si>
    <t>02:1210:048</t>
  </si>
  <si>
    <t>643F895</t>
  </si>
  <si>
    <t>5C7165</t>
  </si>
  <si>
    <t>TAG1:61C61F_TAG2:-33497.257306_TAG3:65247.446602_TAG_END</t>
  </si>
  <si>
    <t>02:1210:051</t>
  </si>
  <si>
    <t>6462953</t>
  </si>
  <si>
    <t>5C714D</t>
  </si>
  <si>
    <t>5C7134</t>
  </si>
  <si>
    <t>02:1210:047</t>
  </si>
  <si>
    <t>6412E4A</t>
  </si>
  <si>
    <t>5C711B</t>
  </si>
  <si>
    <t>TAG1:61C620_TAG2:-33503.026537_TAG3:65247.446602_TAG_END</t>
  </si>
  <si>
    <t>5C7102</t>
  </si>
  <si>
    <t>5C70E9</t>
  </si>
  <si>
    <t>5C70D0</t>
  </si>
  <si>
    <t>5C70B7</t>
  </si>
  <si>
    <t>5C709E</t>
  </si>
  <si>
    <t>5C7085</t>
  </si>
  <si>
    <t>02:1210:050</t>
  </si>
  <si>
    <t>640B463</t>
  </si>
  <si>
    <t>5C706C</t>
  </si>
  <si>
    <t>5C7053</t>
  </si>
  <si>
    <t>5C703A</t>
  </si>
  <si>
    <t>Chambre 211</t>
  </si>
  <si>
    <t>02:1220:010</t>
  </si>
  <si>
    <t>6412E11</t>
  </si>
  <si>
    <t>5C6F9B</t>
  </si>
  <si>
    <t>TAG1:61C5BC_TAG2:-33657.333628_TAG3:64235.526939_TAG_END</t>
  </si>
  <si>
    <t>Chambre 201</t>
  </si>
  <si>
    <t>02:1220:012</t>
  </si>
  <si>
    <t>6412B43</t>
  </si>
  <si>
    <t>5C6F82</t>
  </si>
  <si>
    <t>TAG1:61C5BD_TAG2:-33699.591024_TAG3:64317.840123_TAG_END</t>
  </si>
  <si>
    <t>Chambre 212</t>
  </si>
  <si>
    <t>02:1220:011</t>
  </si>
  <si>
    <t>6412E6E</t>
  </si>
  <si>
    <t>5C6F69</t>
  </si>
  <si>
    <t>TAG1:61C5BE_TAG2:-33691.549386_TAG3:64277.067031_TAG_END</t>
  </si>
  <si>
    <t>5C6F50</t>
  </si>
  <si>
    <t>Sas entrée chambres 211-212</t>
  </si>
  <si>
    <t>02:1220:007</t>
  </si>
  <si>
    <t>6412CF2</t>
  </si>
  <si>
    <t>5C6F37</t>
  </si>
  <si>
    <t>TAG1:61C5BF_TAG2:-33636.796502_TAG3:64268.162223_TAG_END</t>
  </si>
  <si>
    <t>Office</t>
  </si>
  <si>
    <t>02:1220:035</t>
  </si>
  <si>
    <t>640B5BB</t>
  </si>
  <si>
    <t>5C6F1E</t>
  </si>
  <si>
    <t>TAG1:61C5C0_TAG2:-33530.821502_TAG3:64318.994915_TAG_END</t>
  </si>
  <si>
    <t>Dépôt lingerie</t>
  </si>
  <si>
    <t>02:1220:033</t>
  </si>
  <si>
    <t>640B3BE</t>
  </si>
  <si>
    <t>5C6F05</t>
  </si>
  <si>
    <t>TAG1:61C5C1_TAG2:-33507.352271_TAG3:64318.994915_TAG_END</t>
  </si>
  <si>
    <t>Sas entrée chambres 209-210</t>
  </si>
  <si>
    <t>02:1220:034</t>
  </si>
  <si>
    <t>640B340</t>
  </si>
  <si>
    <t>5C6EEC</t>
  </si>
  <si>
    <t>TAG1:61C5C2_TAG2:-33513.011886_TAG3:64268.162223_TAG_END</t>
  </si>
  <si>
    <t>Salon du port</t>
  </si>
  <si>
    <t>02:1220:032</t>
  </si>
  <si>
    <t>6412CA3</t>
  </si>
  <si>
    <t>5C6ED3</t>
  </si>
  <si>
    <t>TAG1:61C5C3_TAG2:-33574.904194_TAG3:64244.718954_TAG_END</t>
  </si>
  <si>
    <t>Chambre 210</t>
  </si>
  <si>
    <t>02:1220:031</t>
  </si>
  <si>
    <t>640B469</t>
  </si>
  <si>
    <t>5C6EBA</t>
  </si>
  <si>
    <t>TAG1:61C5C4_TAG2:-33492.473617_TAG3:64235.527213_TAG_END</t>
  </si>
  <si>
    <t>Chambre 209</t>
  </si>
  <si>
    <t>02:1220:030</t>
  </si>
  <si>
    <t>640B2BA</t>
  </si>
  <si>
    <t>5C6EA1</t>
  </si>
  <si>
    <t>TAG1:61C5C5_TAG2:-33458.259002_TAG3:64277.067031_TAG_END</t>
  </si>
  <si>
    <t>Chambre 208</t>
  </si>
  <si>
    <t>02:1220:029</t>
  </si>
  <si>
    <t>640B360</t>
  </si>
  <si>
    <t>5C6E88</t>
  </si>
  <si>
    <t>TAG1:61C5C6_TAG2:-33447.670907_TAG3:64318.604170_TAG_END</t>
  </si>
  <si>
    <t>Linge sale + vidoir</t>
  </si>
  <si>
    <t>02:1220:055</t>
  </si>
  <si>
    <t>6412C0C</t>
  </si>
  <si>
    <t>5C6E3F</t>
  </si>
  <si>
    <t>TAG1:61C592_TAG2:-33563.912178_TAG3:63879.204404_TAG_END</t>
  </si>
  <si>
    <t>Diététiciennes</t>
  </si>
  <si>
    <t>02:1220:054</t>
  </si>
  <si>
    <t>640B43A</t>
  </si>
  <si>
    <t>5C6E26</t>
  </si>
  <si>
    <t>TAG1:61C593_TAG2:-33569.597754_TAG3:63926.558309_TAG_END</t>
  </si>
  <si>
    <t>02:1220:053</t>
  </si>
  <si>
    <t>6412C0E</t>
  </si>
  <si>
    <t>5C6E0D</t>
  </si>
  <si>
    <t>TAG1:61C594_TAG2:-33606.338524_TAG3:63887.164476_TAG_END</t>
  </si>
  <si>
    <t>02:1220:052</t>
  </si>
  <si>
    <t>6412E7C</t>
  </si>
  <si>
    <t>5C6DF4</t>
  </si>
  <si>
    <t>TAG1:61C595_TAG2:-33647.736793_TAG3:63887.164476_TAG_END</t>
  </si>
  <si>
    <t>02:1220:051</t>
  </si>
  <si>
    <t>6412DDE</t>
  </si>
  <si>
    <t>5C6DDB</t>
  </si>
  <si>
    <t>TAG1:61C596_TAG2:-33689.796797_TAG3:63885.224342_TAG_END</t>
  </si>
  <si>
    <t>02:1220:060</t>
  </si>
  <si>
    <t>6412DF1</t>
  </si>
  <si>
    <t>5C6DC2</t>
  </si>
  <si>
    <t>TAG1:61C597_TAG2:-33502.481985_TAG3:63887.164476_TAG_END</t>
  </si>
  <si>
    <t>Chambre 106</t>
  </si>
  <si>
    <t>02:1220:061</t>
  </si>
  <si>
    <t>6412DAE</t>
  </si>
  <si>
    <t>5C6DA9</t>
  </si>
  <si>
    <t>TAG1:61C598_TAG2:-33461.083716_TAG3:63878.337553_TAG_END</t>
  </si>
  <si>
    <t>Chambre 107</t>
  </si>
  <si>
    <t>02:1220:062</t>
  </si>
  <si>
    <t>640B2A0</t>
  </si>
  <si>
    <t>5C6D90</t>
  </si>
  <si>
    <t>TAG1:61C599_TAG2:-33419.035575_TAG3:63885.166714_TAG_END</t>
  </si>
  <si>
    <t>5C6D71</t>
  </si>
  <si>
    <t>5C6D16</t>
  </si>
  <si>
    <t>5C6CF7</t>
  </si>
  <si>
    <t>Couloir ascenseurs - monte-lits</t>
  </si>
  <si>
    <t>02:1310:060</t>
  </si>
  <si>
    <t>64627EB</t>
  </si>
  <si>
    <t>5C6CDE</t>
  </si>
  <si>
    <t>TAG1:61C591_TAG2:-33555.798710_TAG3:63342.340236_TAG_END</t>
  </si>
  <si>
    <t>02:1310:087</t>
  </si>
  <si>
    <t>64627AB</t>
  </si>
  <si>
    <t>5C6CC5</t>
  </si>
  <si>
    <t>02:1310:086</t>
  </si>
  <si>
    <t>6412B22</t>
  </si>
  <si>
    <t>5C6CAC</t>
  </si>
  <si>
    <t>5C6C61</t>
  </si>
  <si>
    <t>5C6C48</t>
  </si>
  <si>
    <t>5C6C2F</t>
  </si>
  <si>
    <t>5C6BFD</t>
  </si>
  <si>
    <t>5C6BE4</t>
  </si>
  <si>
    <t>5C6BCB</t>
  </si>
  <si>
    <t>5C6B80</t>
  </si>
  <si>
    <t>02:1310:064</t>
  </si>
  <si>
    <t>6462890</t>
  </si>
  <si>
    <t>5C6B4E</t>
  </si>
  <si>
    <t>5C6B35</t>
  </si>
  <si>
    <t>5C6B1C</t>
  </si>
  <si>
    <t>5C6B03</t>
  </si>
  <si>
    <t>5C6A84</t>
  </si>
  <si>
    <t>Pompes</t>
  </si>
  <si>
    <t>02:1310:020</t>
  </si>
  <si>
    <t>64629D3</t>
  </si>
  <si>
    <t>5C6A6B</t>
  </si>
  <si>
    <t>TAG1:61C53B_TAG2:-33406.010029_TAG3:62834.495588_TAG_END</t>
  </si>
  <si>
    <t>5C6A52</t>
  </si>
  <si>
    <t>5C6A39</t>
  </si>
  <si>
    <t>5C6A20</t>
  </si>
  <si>
    <t>5C6A07</t>
  </si>
  <si>
    <t>Examens fonct. 2</t>
  </si>
  <si>
    <t>02:1310:027</t>
  </si>
  <si>
    <t>646281E</t>
  </si>
  <si>
    <t>5C69EE</t>
  </si>
  <si>
    <t>TAG1:61C53C_TAG2:-33512.245095_TAG3:62781.148991_TAG_END</t>
  </si>
  <si>
    <t>Examens fonct. 1</t>
  </si>
  <si>
    <t>02:1310:029</t>
  </si>
  <si>
    <t>64628A8</t>
  </si>
  <si>
    <t>5C69D5</t>
  </si>
  <si>
    <t>TAG1:61C53D_TAG2:-33536.791279_TAG3:62812.731165_TAG_END</t>
  </si>
  <si>
    <t>5C69BC</t>
  </si>
  <si>
    <t>5C69A3</t>
  </si>
  <si>
    <t>5C698A</t>
  </si>
  <si>
    <t>5C6971</t>
  </si>
  <si>
    <t>5C6958</t>
  </si>
  <si>
    <t>5C693F</t>
  </si>
  <si>
    <t>5C6926</t>
  </si>
  <si>
    <t>5C690D</t>
  </si>
  <si>
    <t>5C68F4</t>
  </si>
  <si>
    <t>5C68DB</t>
  </si>
  <si>
    <t>5C68C2</t>
  </si>
  <si>
    <t>5C68A9</t>
  </si>
  <si>
    <t>5C6890</t>
  </si>
  <si>
    <t>5C6877</t>
  </si>
  <si>
    <t>Suite royale entrée</t>
  </si>
  <si>
    <t>02:0110:029</t>
  </si>
  <si>
    <t>647EF9D</t>
  </si>
  <si>
    <t>5C6818</t>
  </si>
  <si>
    <t>TAG1:61C63D_TAG2:-33616.515103_TAG3:65666.576033_TAG_END</t>
  </si>
  <si>
    <t>Suite royale circulation</t>
  </si>
  <si>
    <t>02:0110:032</t>
  </si>
  <si>
    <t>647F0E0</t>
  </si>
  <si>
    <t>5C67FD</t>
  </si>
  <si>
    <t>TAG1:61C63E_TAG2:-33628.326440_TAG3:65700.765342_TAG_END</t>
  </si>
  <si>
    <t>Suite royale dépôt</t>
  </si>
  <si>
    <t>02:0110:028</t>
  </si>
  <si>
    <t>647F1B2</t>
  </si>
  <si>
    <t>5C67E2</t>
  </si>
  <si>
    <t>TAG1:61C63F_TAG2:-33607.540415_TAG3:65646.505908_TAG_END</t>
  </si>
  <si>
    <t>Suite royale cuisine</t>
  </si>
  <si>
    <t>02:0110:027</t>
  </si>
  <si>
    <t>64521FF</t>
  </si>
  <si>
    <t>5C67C7</t>
  </si>
  <si>
    <t>TAG1:61C640_TAG2:-33645.967767_TAG3:65624.699776_TAG_END</t>
  </si>
  <si>
    <t>Suite royale séjour</t>
  </si>
  <si>
    <t>02:0110:030</t>
  </si>
  <si>
    <t>6471C12</t>
  </si>
  <si>
    <t>5C67AC</t>
  </si>
  <si>
    <t>TAG1:61C641_TAG2:-33661.242896_TAG3:65668.565201_TAG_END</t>
  </si>
  <si>
    <t>Suite royale chambre 2</t>
  </si>
  <si>
    <t>02:0110:033</t>
  </si>
  <si>
    <t>647ED79</t>
  </si>
  <si>
    <t>5C6791</t>
  </si>
  <si>
    <t>TAG1:61C642_TAG2:-33614.266270_TAG3:65735.222625_TAG_END</t>
  </si>
  <si>
    <t>Suite royale chambre 1</t>
  </si>
  <si>
    <t>02:0110:031</t>
  </si>
  <si>
    <t>6471D26</t>
  </si>
  <si>
    <t>5C6776</t>
  </si>
  <si>
    <t>TAG1:61C643_TAG2:-33674.998962_TAG3:65736.885752_TAG_END</t>
  </si>
  <si>
    <t>Couloir chambres 201-204</t>
  </si>
  <si>
    <t>02:1220:002</t>
  </si>
  <si>
    <t>640B2F0</t>
  </si>
  <si>
    <t>5C675C</t>
  </si>
  <si>
    <t>TAG1:61C5B0_TAG2:-33658.388677_TAG3:64364.979343_TAG_END</t>
  </si>
  <si>
    <t>Couloir chambres 101-104</t>
  </si>
  <si>
    <t>02:1220:050</t>
  </si>
  <si>
    <t>6412E3B</t>
  </si>
  <si>
    <t>5C6743</t>
  </si>
  <si>
    <t>TAG1:61C59A_TAG2:-33640.954076_TAG3:63819.221602_TAG_END</t>
  </si>
  <si>
    <t>5C672A</t>
  </si>
  <si>
    <t>5C66B5</t>
  </si>
  <si>
    <t>5C669C</t>
  </si>
  <si>
    <t>5C6683</t>
  </si>
  <si>
    <t>5C666A</t>
  </si>
  <si>
    <t>5C6651</t>
  </si>
  <si>
    <t>5C6638</t>
  </si>
  <si>
    <t>5C661F</t>
  </si>
  <si>
    <t>5C6606</t>
  </si>
  <si>
    <t>5C65DB</t>
  </si>
  <si>
    <t>5C6580</t>
  </si>
  <si>
    <t>02:1220:013</t>
  </si>
  <si>
    <t>640B5FC</t>
  </si>
  <si>
    <t>5C6567</t>
  </si>
  <si>
    <t>Chambre 207</t>
  </si>
  <si>
    <t>02:1220:026</t>
  </si>
  <si>
    <t>640B374</t>
  </si>
  <si>
    <t>5C654E</t>
  </si>
  <si>
    <t>TAG1:61C5B1_TAG2:-33439.571475_TAG3:64431.109609_TAG_END</t>
  </si>
  <si>
    <t>Chambre 206</t>
  </si>
  <si>
    <t>02:1220:025</t>
  </si>
  <si>
    <t>6412C71</t>
  </si>
  <si>
    <t>5C6535</t>
  </si>
  <si>
    <t>TAG1:61C5B2_TAG2:-33481.443705_TAG3:64433.103455_TAG_END</t>
  </si>
  <si>
    <t>Chambre 205</t>
  </si>
  <si>
    <t>02:1220:024</t>
  </si>
  <si>
    <t>6412CE4</t>
  </si>
  <si>
    <t>5C651C</t>
  </si>
  <si>
    <t>TAG1:61C5B3_TAG2:-33522.975925_TAG3:64433.147800_TAG_END</t>
  </si>
  <si>
    <t>Couloir vestiaires</t>
  </si>
  <si>
    <t>02:1220:020</t>
  </si>
  <si>
    <t>6412CA5</t>
  </si>
  <si>
    <t>5C6503</t>
  </si>
  <si>
    <t>TAG1:61C5B4_TAG2:-33560.346793_TAG3:64406.270287_TAG_END</t>
  </si>
  <si>
    <t>5C64EA</t>
  </si>
  <si>
    <t>5C64D1</t>
  </si>
  <si>
    <t>5C64B8</t>
  </si>
  <si>
    <t>Chambre 204</t>
  </si>
  <si>
    <t>02:1220:016</t>
  </si>
  <si>
    <t>640B365</t>
  </si>
  <si>
    <t>5C649F</t>
  </si>
  <si>
    <t>TAG1:61C5B5_TAG2:-33626.832463_TAG3:64433.147800_TAG_END</t>
  </si>
  <si>
    <t>Chambre 203</t>
  </si>
  <si>
    <t>02:1220:015</t>
  </si>
  <si>
    <t>640B4CB</t>
  </si>
  <si>
    <t>5C6486</t>
  </si>
  <si>
    <t>TAG1:61C5B6_TAG2:-33668.350388_TAG3:64433.129918_TAG_END</t>
  </si>
  <si>
    <t>Chambre 202</t>
  </si>
  <si>
    <t>02:1220:014</t>
  </si>
  <si>
    <t>6412B50</t>
  </si>
  <si>
    <t>5C646D</t>
  </si>
  <si>
    <t>TAG1:61C5B7_TAG2:-33710.266564_TAG3:64431.186984_TAG_END</t>
  </si>
  <si>
    <t>5C644E</t>
  </si>
  <si>
    <t>5C642F</t>
  </si>
  <si>
    <t>5C6410</t>
  </si>
  <si>
    <t>5C63F1</t>
  </si>
  <si>
    <t>5C63D2</t>
  </si>
  <si>
    <t>02:1220:037</t>
  </si>
  <si>
    <t>6412BC5</t>
  </si>
  <si>
    <t>5C63B9</t>
  </si>
  <si>
    <t>5C63A0</t>
  </si>
  <si>
    <t>5C6387</t>
  </si>
  <si>
    <t>5C636E</t>
  </si>
  <si>
    <t>5C634F</t>
  </si>
  <si>
    <t>5C62E8</t>
  </si>
  <si>
    <t>5C62C9</t>
  </si>
  <si>
    <t>5C62AA</t>
  </si>
  <si>
    <t>5C6291</t>
  </si>
  <si>
    <t>5C6278</t>
  </si>
  <si>
    <t>5C625F</t>
  </si>
  <si>
    <t>5C6246</t>
  </si>
  <si>
    <t>5C622D</t>
  </si>
  <si>
    <t>5C6214</t>
  </si>
  <si>
    <t>5C61FB</t>
  </si>
  <si>
    <t>5C61E2</t>
  </si>
  <si>
    <t>5C61C9</t>
  </si>
  <si>
    <t>5C61B0</t>
  </si>
  <si>
    <t>5C6197</t>
  </si>
  <si>
    <t>5C617E</t>
  </si>
  <si>
    <t>5C6165</t>
  </si>
  <si>
    <t>5C614C</t>
  </si>
  <si>
    <t>5C6133</t>
  </si>
  <si>
    <t>5C611A</t>
  </si>
  <si>
    <t>5C6101</t>
  </si>
  <si>
    <t>Local onduleur</t>
  </si>
  <si>
    <t>02:1310:013</t>
  </si>
  <si>
    <t>6412E79</t>
  </si>
  <si>
    <t>5C60DB</t>
  </si>
  <si>
    <t>TAG1:61C524_TAG2:-33418.990798_TAG3:62982.999915_TAG_END</t>
  </si>
  <si>
    <t>Couloir batterie d'eau</t>
  </si>
  <si>
    <t>02:1310:012</t>
  </si>
  <si>
    <t>6412D9F</t>
  </si>
  <si>
    <t>5C60C2</t>
  </si>
  <si>
    <t>TAG1:61C525_TAG2:-33441.274452_TAG3:62933.886722_TAG_END</t>
  </si>
  <si>
    <t>Ventilation et climatisation</t>
  </si>
  <si>
    <t>02:1310:011</t>
  </si>
  <si>
    <t>640B54D</t>
  </si>
  <si>
    <t>5C60A9</t>
  </si>
  <si>
    <t>TAG1:61C526_TAG2:-33492.980281_TAG3:62999.158650_TAG_END</t>
  </si>
  <si>
    <t>02:1310:010</t>
  </si>
  <si>
    <t>640B390</t>
  </si>
  <si>
    <t>5C6090</t>
  </si>
  <si>
    <t>Hall local nettoyage</t>
  </si>
  <si>
    <t>02:1220:040</t>
  </si>
  <si>
    <t>6412DE7</t>
  </si>
  <si>
    <t>5C6068</t>
  </si>
  <si>
    <t>TAG1:61C59D_TAG2:-33604.670727_TAG3:63759.987414_TAG_END</t>
  </si>
  <si>
    <t>Chambre 108</t>
  </si>
  <si>
    <t>02:1220:065</t>
  </si>
  <si>
    <t>6412DB8</t>
  </si>
  <si>
    <t>5C5FFD</t>
  </si>
  <si>
    <t>TAG1:61C59E_TAG2:-33427.172754_TAG3:63769.915438_TAG_END</t>
  </si>
  <si>
    <t>02:1220:041</t>
  </si>
  <si>
    <t>6412E1B</t>
  </si>
  <si>
    <t>5C5FEC</t>
  </si>
  <si>
    <t>TAG1:61C59F_TAG2:-33618.691024_TAG3:63758.738391_TAG_END</t>
  </si>
  <si>
    <t>02:1220:073</t>
  </si>
  <si>
    <t>640B45E</t>
  </si>
  <si>
    <t>5C5FDB</t>
  </si>
  <si>
    <t>TAG1:61C5A0_TAG2:-33510.327562_TAG3:63769.915438_TAG_END</t>
  </si>
  <si>
    <t>Local linge</t>
  </si>
  <si>
    <t>02:1220:072</t>
  </si>
  <si>
    <t>640B45B</t>
  </si>
  <si>
    <t>5C5FCA</t>
  </si>
  <si>
    <t>TAG1:61C5A1_TAG2:-33486.858331_TAG3:63769.915438_TAG_END</t>
  </si>
  <si>
    <t>Hall chambres 109+110</t>
  </si>
  <si>
    <t>02:1220:045</t>
  </si>
  <si>
    <t>6412D71</t>
  </si>
  <si>
    <t>5C5FB9</t>
  </si>
  <si>
    <t>TAG1:61C5A2_TAG2:-33492.517947_TAG3:63719.082745_TAG_END</t>
  </si>
  <si>
    <t>Chambre 109</t>
  </si>
  <si>
    <t>02:1220:066</t>
  </si>
  <si>
    <t>6412D37</t>
  </si>
  <si>
    <t>5C5FA8</t>
  </si>
  <si>
    <t>TAG1:61C5A3_TAG2:-33436.986216_TAG3:63727.208707_TAG_END</t>
  </si>
  <si>
    <t>Chambre 110</t>
  </si>
  <si>
    <t>02:1220:067</t>
  </si>
  <si>
    <t>6412BCA</t>
  </si>
  <si>
    <t>5C5F97</t>
  </si>
  <si>
    <t>TAG1:61C5A4_TAG2:-33471.979977_TAG3:63686.473196_TAG_END</t>
  </si>
  <si>
    <t>Bureau infirmières</t>
  </si>
  <si>
    <t>02:1220:069</t>
  </si>
  <si>
    <t>6412CAC</t>
  </si>
  <si>
    <t>5C5F86</t>
  </si>
  <si>
    <t>TAG1:61C5A5_TAG2:-33548.161131_TAG3:63683.971798_TAG_END</t>
  </si>
  <si>
    <t>02:1220:068</t>
  </si>
  <si>
    <t>6412CA4</t>
  </si>
  <si>
    <t>5C5F75</t>
  </si>
  <si>
    <t>Local préparations</t>
  </si>
  <si>
    <t>02:1220:070</t>
  </si>
  <si>
    <t>640B2B0</t>
  </si>
  <si>
    <t>5C5F64</t>
  </si>
  <si>
    <t>TAG1:61C5A6_TAG2:-33562.823093_TAG3:63684.299522_TAG_END</t>
  </si>
  <si>
    <t>Local traitement</t>
  </si>
  <si>
    <t>02:1220:071</t>
  </si>
  <si>
    <t>6412D27</t>
  </si>
  <si>
    <t>5C5F53</t>
  </si>
  <si>
    <t>TAG1:61C5A7_TAG2:-33567.111866_TAG3:63709.094657_TAG_END</t>
  </si>
  <si>
    <t>Hall chambres 111+112</t>
  </si>
  <si>
    <t>02:1220:042</t>
  </si>
  <si>
    <t>640B470</t>
  </si>
  <si>
    <t>5C5F42</t>
  </si>
  <si>
    <t>TAG1:61C5A8_TAG2:-33616.302562_TAG3:63719.082745_TAG_END</t>
  </si>
  <si>
    <t>Chambre 111</t>
  </si>
  <si>
    <t>02:1220:047</t>
  </si>
  <si>
    <t>6412C3A</t>
  </si>
  <si>
    <t>5C5F31</t>
  </si>
  <si>
    <t>TAG1:61C5A9_TAG2:-33636.837239_TAG3:63686.450234_TAG_END</t>
  </si>
  <si>
    <t>Chambre 112</t>
  </si>
  <si>
    <t>02:1220:048</t>
  </si>
  <si>
    <t>6412D95</t>
  </si>
  <si>
    <t>5C5F20</t>
  </si>
  <si>
    <t>TAG1:61C5AA_TAG2:-33671.834293_TAG3:63727.208707_TAG_END</t>
  </si>
  <si>
    <t>02:1220:049</t>
  </si>
  <si>
    <t>6412BDD</t>
  </si>
  <si>
    <t>5C5F0F</t>
  </si>
  <si>
    <t>TAG1:61C5AB_TAG2:-33679.097084_TAG3:63768.760645_TAG_END</t>
  </si>
  <si>
    <t>Suite deluxe chambre</t>
  </si>
  <si>
    <t>02:0110:013</t>
  </si>
  <si>
    <t>6471BD4</t>
  </si>
  <si>
    <t>5C5ED2</t>
  </si>
  <si>
    <t>TAG1:61C62E_TAG2:-33465.245527_TAG3:65736.342082_TAG_END</t>
  </si>
  <si>
    <t>Suite deluxe séjour</t>
  </si>
  <si>
    <t>02:0110:014</t>
  </si>
  <si>
    <t>647F01E</t>
  </si>
  <si>
    <t>5C5EB7</t>
  </si>
  <si>
    <t>TAG1:61C62F_TAG2:-33461.247352_TAG3:65668.665236_TAG_END</t>
  </si>
  <si>
    <t>Suite deluxe entrée</t>
  </si>
  <si>
    <t>02:0110:012</t>
  </si>
  <si>
    <t>6471C5C</t>
  </si>
  <si>
    <t>5C5E9C</t>
  </si>
  <si>
    <t>TAG1:61C630_TAG2:-33513.519640_TAG3:65667.200884_TAG_END</t>
  </si>
  <si>
    <t>Suite deluxe cuisine</t>
  </si>
  <si>
    <t>02:0110:015</t>
  </si>
  <si>
    <t>643F622</t>
  </si>
  <si>
    <t>5C5E81</t>
  </si>
  <si>
    <t>TAG1:61C631_TAG2:-33487.247662_TAG3:65626.936288_TAG_END</t>
  </si>
  <si>
    <t>02:1210:006</t>
  </si>
  <si>
    <t>643F8D7</t>
  </si>
  <si>
    <t>5C5E23</t>
  </si>
  <si>
    <t>TAG1:61C623_TAG2:-33529.701936_TAG3:65160.848767_TAG_END</t>
  </si>
  <si>
    <t>5C5E12</t>
  </si>
  <si>
    <t>5C5E01</t>
  </si>
  <si>
    <t>02:1210:009</t>
  </si>
  <si>
    <t>645BFF4</t>
  </si>
  <si>
    <t>5C5DF0</t>
  </si>
  <si>
    <t>C.L.P.3 / SPA / Restaurant</t>
  </si>
  <si>
    <t>Stock minérales r37 clp3</t>
  </si>
  <si>
    <t>02:1110:109</t>
  </si>
  <si>
    <t>646294D</t>
  </si>
  <si>
    <t>56E9F7</t>
  </si>
  <si>
    <t>TAG1:61C669_TAG2:-30258.979734_TAG3:64514.433199_TAG_END</t>
  </si>
  <si>
    <t>02:1110:108</t>
  </si>
  <si>
    <t>64524A9</t>
  </si>
  <si>
    <t>56E9D9</t>
  </si>
  <si>
    <t>02:1110:107</t>
  </si>
  <si>
    <t>6462806</t>
  </si>
  <si>
    <t>56E9CA</t>
  </si>
  <si>
    <t>Pharmacie r17 clp3</t>
  </si>
  <si>
    <t>02:1110:104</t>
  </si>
  <si>
    <t>646274F</t>
  </si>
  <si>
    <t>56E9BB</t>
  </si>
  <si>
    <t>TAG1:61C65E_TAG2:-30169.760457_TAG3:64855.429562_TAG_END</t>
  </si>
  <si>
    <t>02:1110:103</t>
  </si>
  <si>
    <t>643F399</t>
  </si>
  <si>
    <t>56E9AC</t>
  </si>
  <si>
    <t>Onduleurs r19 clp3</t>
  </si>
  <si>
    <t>02:1110:016</t>
  </si>
  <si>
    <t>64629BE</t>
  </si>
  <si>
    <t>56E99D</t>
  </si>
  <si>
    <t>TAG1:61C65F_TAG2:-30020.382273_TAG3:64809.822962_TAG_END</t>
  </si>
  <si>
    <t>Informatique-tel. r18 clp3</t>
  </si>
  <si>
    <t>02:1110:114</t>
  </si>
  <si>
    <t>6462917</t>
  </si>
  <si>
    <t>56E98E</t>
  </si>
  <si>
    <t>TAG1:61C660_TAG2:-30081.438140_TAG3:64813.998849_TAG_END</t>
  </si>
  <si>
    <t>Romande énergie r21 clp3</t>
  </si>
  <si>
    <t>02:1110:015</t>
  </si>
  <si>
    <t>64628F7</t>
  </si>
  <si>
    <t>56E97F</t>
  </si>
  <si>
    <t>TAG1:61C661_TAG2:-30298.784737_TAG3:64830.014924_TAG_END</t>
  </si>
  <si>
    <t>Vestiaire toilette r05/r07 clp3</t>
  </si>
  <si>
    <t>02:1110:082</t>
  </si>
  <si>
    <t>6452509</t>
  </si>
  <si>
    <t>56E943</t>
  </si>
  <si>
    <t>TAG1:61C652_TAG2:-30309.333565_TAG3:65008.061272_TAG_END</t>
  </si>
  <si>
    <t>02:1110:081</t>
  </si>
  <si>
    <t>64629B1</t>
  </si>
  <si>
    <t>56E934</t>
  </si>
  <si>
    <t>Vestiaire femme cuisine</t>
  </si>
  <si>
    <t>02:1110:084</t>
  </si>
  <si>
    <t>6452321</t>
  </si>
  <si>
    <t>56E925</t>
  </si>
  <si>
    <t>TAG1:61C653_TAG2:-30411.783136_TAG3:64994.061272_TAG_END</t>
  </si>
  <si>
    <t>Electricité r31 clp3</t>
  </si>
  <si>
    <t>02:1110:110</t>
  </si>
  <si>
    <t>64628F2</t>
  </si>
  <si>
    <t>56E907</t>
  </si>
  <si>
    <t>TAG1:61C655_TAG2:-30551.783136_TAG3:64994.061272_TAG_END</t>
  </si>
  <si>
    <t>Vestiaire+douche femme 2 clp3</t>
  </si>
  <si>
    <t>02:1110:099</t>
  </si>
  <si>
    <t>64626BC</t>
  </si>
  <si>
    <t>56E8F8</t>
  </si>
  <si>
    <t>TAG1:61C656_TAG2:-30358.485339_TAG3:64963.036272_TAG_END</t>
  </si>
  <si>
    <t>02:1110:083</t>
  </si>
  <si>
    <t>646273C</t>
  </si>
  <si>
    <t>56E8E9</t>
  </si>
  <si>
    <t>Vestiaire toilette r14/r16 clp3</t>
  </si>
  <si>
    <t>02:1110:101</t>
  </si>
  <si>
    <t>645208C</t>
  </si>
  <si>
    <t>56E8DA</t>
  </si>
  <si>
    <t>TAG1:61C657_TAG2:-30516.783136_TAG3:64963.061272_TAG_END</t>
  </si>
  <si>
    <t>02:1110:100</t>
  </si>
  <si>
    <t>645249A</t>
  </si>
  <si>
    <t>56E8CB</t>
  </si>
  <si>
    <t>C.L.P.3 / SPA / Soins</t>
  </si>
  <si>
    <t>Rez inférieur</t>
  </si>
  <si>
    <t>Faux-plafond local électrique</t>
  </si>
  <si>
    <t>02:1120:064</t>
  </si>
  <si>
    <t>643F7B1</t>
  </si>
  <si>
    <t>56E858</t>
  </si>
  <si>
    <t>TAG1:61C6B2_TAG2:-30674.457300_TAG3:65543.998931_TAG_END</t>
  </si>
  <si>
    <t>Faux-plafond zone de soins</t>
  </si>
  <si>
    <t>02:1120:063</t>
  </si>
  <si>
    <t>645204E</t>
  </si>
  <si>
    <t>56E831</t>
  </si>
  <si>
    <t>TAG1:61C68B_TAG2:-30428.516689_TAG3:65570.271904_TAG_END</t>
  </si>
  <si>
    <t>Rez supérieur</t>
  </si>
  <si>
    <t>Responsable soins</t>
  </si>
  <si>
    <t>02:1120:088</t>
  </si>
  <si>
    <t>6412B8D</t>
  </si>
  <si>
    <t>56E7D7</t>
  </si>
  <si>
    <t>TAG1:61C695_TAG2:-30205.276019_TAG3:65433.962497_TAG_END</t>
  </si>
  <si>
    <t>Réception lounge boutique</t>
  </si>
  <si>
    <t>02:0110:005</t>
  </si>
  <si>
    <t>6471BB9</t>
  </si>
  <si>
    <t>56E7C8</t>
  </si>
  <si>
    <t>TAG1:61C696_TAG2:-30421.733184_TAG3:65363.205504_TAG_END</t>
  </si>
  <si>
    <t>Esthétique 11</t>
  </si>
  <si>
    <t>02:1120:089</t>
  </si>
  <si>
    <t>640B4D0</t>
  </si>
  <si>
    <t>56E7B9</t>
  </si>
  <si>
    <t>TAG1:61C697_TAG2:-30255.957019_TAG3:65432.876264_TAG_END</t>
  </si>
  <si>
    <t>Espace attente</t>
  </si>
  <si>
    <t>02:1120:080</t>
  </si>
  <si>
    <t>643F6F5</t>
  </si>
  <si>
    <t>56E7AA</t>
  </si>
  <si>
    <t>TAG1:61C698_TAG2:-30409.067683_TAG3:65404.059380_TAG_END</t>
  </si>
  <si>
    <t>Dépôt linge (sale)</t>
  </si>
  <si>
    <t>02:1120:084</t>
  </si>
  <si>
    <t>6412E40</t>
  </si>
  <si>
    <t>56E79B</t>
  </si>
  <si>
    <t>TAG1:61C699_TAG2:-30336.273287_TAG3:65413.446840_TAG_END</t>
  </si>
  <si>
    <t>Programmes</t>
  </si>
  <si>
    <t>02:1120:087</t>
  </si>
  <si>
    <t>640B5AD</t>
  </si>
  <si>
    <t>56E78C</t>
  </si>
  <si>
    <t>TAG1:61C69A_TAG2:-30288.529741_TAG3:65406.377748_TAG_END</t>
  </si>
  <si>
    <t>02:1120:033</t>
  </si>
  <si>
    <t>6412C1D</t>
  </si>
  <si>
    <t>56E77D</t>
  </si>
  <si>
    <t>TAG1:61C6B5_TAG2:-30240.001366_TAG3:66646.532206_TAG_END</t>
  </si>
  <si>
    <t>Stock cuisine r56 clp3</t>
  </si>
  <si>
    <t>02:1110:057</t>
  </si>
  <si>
    <t>645B848</t>
  </si>
  <si>
    <t>56E76E</t>
  </si>
  <si>
    <t>TAG1:61C67B_TAG2:-30770.654795_TAG3:64775.429629_TAG_END</t>
  </si>
  <si>
    <t>Réservations 2</t>
  </si>
  <si>
    <t>02:1120:031</t>
  </si>
  <si>
    <t>640B40B</t>
  </si>
  <si>
    <t>56E75F</t>
  </si>
  <si>
    <t>TAG1:61C6B6_TAG2:-30239.384716_TAG3:66678.117444_TAG_END</t>
  </si>
  <si>
    <t>Honegger r47 clp3</t>
  </si>
  <si>
    <t>02:1110:070</t>
  </si>
  <si>
    <t>64628AE</t>
  </si>
  <si>
    <t>56E750</t>
  </si>
  <si>
    <t>TAG1:61C67C_TAG2:-30650.398373_TAG3:64848.159083_TAG_END</t>
  </si>
  <si>
    <t>Réservations 1</t>
  </si>
  <si>
    <t>02:1120:032</t>
  </si>
  <si>
    <t>640B4A1</t>
  </si>
  <si>
    <t>56E741</t>
  </si>
  <si>
    <t>TAG1:61C6B7_TAG2:-30238.528368_TAG3:66703.718289_TAG_END</t>
  </si>
  <si>
    <t>Bureau facturation</t>
  </si>
  <si>
    <t>02:1120:034</t>
  </si>
  <si>
    <t>6412BB3</t>
  </si>
  <si>
    <t>56E732</t>
  </si>
  <si>
    <t>TAG1:61C6B8_TAG2:-30228.999943_TAG3:66610.823811_TAG_END</t>
  </si>
  <si>
    <t>02:1120:035</t>
  </si>
  <si>
    <t>640B2AD</t>
  </si>
  <si>
    <t>56E723</t>
  </si>
  <si>
    <t>Couloir sec</t>
  </si>
  <si>
    <t>02:1120:078</t>
  </si>
  <si>
    <t>64523D7</t>
  </si>
  <si>
    <t>56E714</t>
  </si>
  <si>
    <t>TAG1:61C6A0_TAG2:-30555.387685_TAG3:65580.422081_TAG_END</t>
  </si>
  <si>
    <t>02:1120:067</t>
  </si>
  <si>
    <t>643F50F</t>
  </si>
  <si>
    <t>56E705</t>
  </si>
  <si>
    <t>Hall monte-charge</t>
  </si>
  <si>
    <t>02:1120:005</t>
  </si>
  <si>
    <t>64523A5</t>
  </si>
  <si>
    <t>56E6F6</t>
  </si>
  <si>
    <t>TAG1:61C6C4_TAG2:-30353.755671_TAG3:66488.755639_TAG_END</t>
  </si>
  <si>
    <t>02:1120:066</t>
  </si>
  <si>
    <t>64628F0</t>
  </si>
  <si>
    <t>56E6E7</t>
  </si>
  <si>
    <t>02:1120:002</t>
  </si>
  <si>
    <t>6462833</t>
  </si>
  <si>
    <t>56E6D8</t>
  </si>
  <si>
    <t>TAG1:61C6C5_TAG2:-30556.465427_TAG3:66518.428033_TAG_END</t>
  </si>
  <si>
    <t>02:1120:069</t>
  </si>
  <si>
    <t>643F4AE</t>
  </si>
  <si>
    <t>56E6C9</t>
  </si>
  <si>
    <t>Service bar</t>
  </si>
  <si>
    <t>02:1120:013</t>
  </si>
  <si>
    <t>643F710</t>
  </si>
  <si>
    <t>56E6BA</t>
  </si>
  <si>
    <t>TAG1:61C6C6_TAG2:-30575.323127_TAG3:66471.247413_TAG_END</t>
  </si>
  <si>
    <t>02:1120:076</t>
  </si>
  <si>
    <t>643F6BF</t>
  </si>
  <si>
    <t>56E6AB</t>
  </si>
  <si>
    <t>02:1120:073</t>
  </si>
  <si>
    <t>643F749</t>
  </si>
  <si>
    <t>56E69C</t>
  </si>
  <si>
    <t>Wc</t>
  </si>
  <si>
    <t>02:1120:016</t>
  </si>
  <si>
    <t>645244D</t>
  </si>
  <si>
    <t>56E68D</t>
  </si>
  <si>
    <t>TAG1:61C6C7_TAG2:-30399.856324_TAG3:66480.827616_TAG_END</t>
  </si>
  <si>
    <t>02:1120:070</t>
  </si>
  <si>
    <t>643F808</t>
  </si>
  <si>
    <t>56E67E</t>
  </si>
  <si>
    <t>02:1120:079</t>
  </si>
  <si>
    <t>6452206</t>
  </si>
  <si>
    <t>56E66F</t>
  </si>
  <si>
    <t>Wc piscine</t>
  </si>
  <si>
    <t>02:1120:015</t>
  </si>
  <si>
    <t>643F840</t>
  </si>
  <si>
    <t>56E660</t>
  </si>
  <si>
    <t>TAG1:61C6C8_TAG2:-30420.671461_TAG3:66423.340563_TAG_END</t>
  </si>
  <si>
    <t>02:1110:071</t>
  </si>
  <si>
    <t>645BB70</t>
  </si>
  <si>
    <t>56E651</t>
  </si>
  <si>
    <t>Cuisine tableau électrique</t>
  </si>
  <si>
    <t>02:1110:056</t>
  </si>
  <si>
    <t>64522B2</t>
  </si>
  <si>
    <t>56E642</t>
  </si>
  <si>
    <t>TAG1:61C670_TAG2:-30618.325870_TAG3:64562.888188_TAG_END</t>
  </si>
  <si>
    <t>Dosage cl r46 clp3</t>
  </si>
  <si>
    <t>02:1110:073</t>
  </si>
  <si>
    <t>64627F5</t>
  </si>
  <si>
    <t>56E633</t>
  </si>
  <si>
    <t>TAG1:61C67D_TAG2:-30571.531929_TAG3:64842.612497_TAG_END</t>
  </si>
  <si>
    <t>Esthétique 10</t>
  </si>
  <si>
    <t>02:1120:077</t>
  </si>
  <si>
    <t>645207D</t>
  </si>
  <si>
    <t>56E624</t>
  </si>
  <si>
    <t>TAG1:61C6A3_TAG2:-30554.557946_TAG3:65437.020555_TAG_END</t>
  </si>
  <si>
    <t>02:1110:072</t>
  </si>
  <si>
    <t>6462897</t>
  </si>
  <si>
    <t>56E615</t>
  </si>
  <si>
    <t>Esthétique 9</t>
  </si>
  <si>
    <t>02:1120:075</t>
  </si>
  <si>
    <t>64520D6</t>
  </si>
  <si>
    <t>56E606</t>
  </si>
  <si>
    <t>TAG1:61C6A4_TAG2:-30609.282661_TAG3:65445.523974_TAG_END</t>
  </si>
  <si>
    <t>Conciergerie r02 clp3</t>
  </si>
  <si>
    <t>02:1110:066</t>
  </si>
  <si>
    <t>6462A42</t>
  </si>
  <si>
    <t>56E5F7</t>
  </si>
  <si>
    <t>TAG1:61C67E_TAG2:-30878.228444_TAG3:64750.592134_TAG_END</t>
  </si>
  <si>
    <t>Massage 4</t>
  </si>
  <si>
    <t>02:1120:074</t>
  </si>
  <si>
    <t>643F78D</t>
  </si>
  <si>
    <t>56E5E8</t>
  </si>
  <si>
    <t>TAG1:61C6A5_TAG2:-30659.689453_TAG3:65445.020277_TAG_END</t>
  </si>
  <si>
    <t>02:1110:065</t>
  </si>
  <si>
    <t>6452241</t>
  </si>
  <si>
    <t>56E5D9</t>
  </si>
  <si>
    <t>Massage 3</t>
  </si>
  <si>
    <t>02:1120:072</t>
  </si>
  <si>
    <t>643F61A</t>
  </si>
  <si>
    <t>56E5CA</t>
  </si>
  <si>
    <t>TAG1:61C6A6_TAG2:-30700.536382_TAG3:65457.217101_TAG_END</t>
  </si>
  <si>
    <t>Chaud-froid r03 clp3</t>
  </si>
  <si>
    <t>02:1110:075</t>
  </si>
  <si>
    <t>643F3E7</t>
  </si>
  <si>
    <t>56E5BB</t>
  </si>
  <si>
    <t>TAG1:61C67F_TAG2:-30703.116208_TAG3:64781.746506_TAG_END</t>
  </si>
  <si>
    <t>VIP 2</t>
  </si>
  <si>
    <t>02:1120:071</t>
  </si>
  <si>
    <t>643F671</t>
  </si>
  <si>
    <t>56E5AC</t>
  </si>
  <si>
    <t>TAG1:61C6A7_TAG2:-30751.263421_TAG3:65460.396731_TAG_END</t>
  </si>
  <si>
    <t>Atelier r01 clp3</t>
  </si>
  <si>
    <t>02:1110:063</t>
  </si>
  <si>
    <t>64626A1</t>
  </si>
  <si>
    <t>56E59D</t>
  </si>
  <si>
    <t>TAG1:61C680_TAG2:-30948.086824_TAG3:64673.649431_TAG_END</t>
  </si>
  <si>
    <t>02:1110:062</t>
  </si>
  <si>
    <t>6452430</t>
  </si>
  <si>
    <t>56E58E</t>
  </si>
  <si>
    <t>02:1120:068</t>
  </si>
  <si>
    <t>646299B</t>
  </si>
  <si>
    <t>56E57F</t>
  </si>
  <si>
    <t>Cafétéria 2</t>
  </si>
  <si>
    <t>02:1120:028</t>
  </si>
  <si>
    <t>640B545</t>
  </si>
  <si>
    <t>56E570</t>
  </si>
  <si>
    <t>TAG1:61C6B9_TAG2:-30314.582450_TAG3:66842.691437_TAG_END</t>
  </si>
  <si>
    <t>Cafétéria 1</t>
  </si>
  <si>
    <t>02:1120:029</t>
  </si>
  <si>
    <t>640B548</t>
  </si>
  <si>
    <t>56E561</t>
  </si>
  <si>
    <t>TAG1:61C6BA_TAG2:-30304.330494_TAG3:66785.754735_TAG_END</t>
  </si>
  <si>
    <t>Ascenceur 2</t>
  </si>
  <si>
    <t>02:1120:003</t>
  </si>
  <si>
    <t>8A8EC16</t>
  </si>
  <si>
    <t>56E47C</t>
  </si>
  <si>
    <t>TAG1:61C6CF_TAG2:-30352.922159_TAG3:66458.622198_TAG_END</t>
  </si>
  <si>
    <t>Ascenceur 1</t>
  </si>
  <si>
    <t>02:1120:014</t>
  </si>
  <si>
    <t>8B387CF</t>
  </si>
  <si>
    <t>56E463</t>
  </si>
  <si>
    <t>TAG1:61C6D0_TAG2:-30354.797087_TAG3:66420.127769_TAG_END</t>
  </si>
  <si>
    <t>Bar</t>
  </si>
  <si>
    <t>02:1120:011</t>
  </si>
  <si>
    <t>6452260</t>
  </si>
  <si>
    <t>56E414</t>
  </si>
  <si>
    <t>TAG1:61C6BF_TAG2:-30365.321996_TAG3:66379.876813_TAG_END</t>
  </si>
  <si>
    <t>Hall d'entrée / lobby bar</t>
  </si>
  <si>
    <t>02:1120:017</t>
  </si>
  <si>
    <t>643F71C</t>
  </si>
  <si>
    <t>56E3FB</t>
  </si>
  <si>
    <t>TAG1:61C6C0_TAG2:-30342.441973_TAG3:66424.268495_TAG_END</t>
  </si>
  <si>
    <t>02:1120:037</t>
  </si>
  <si>
    <t>6452319</t>
  </si>
  <si>
    <t>56E3E2</t>
  </si>
  <si>
    <t>TAG1:61C6C1_TAG2:-30265.017501_TAG3:66510.679090_TAG_END</t>
  </si>
  <si>
    <t>02:1120:006</t>
  </si>
  <si>
    <t>6462844</t>
  </si>
  <si>
    <t>56E3C9</t>
  </si>
  <si>
    <t>02:1120:007</t>
  </si>
  <si>
    <t>643F40F</t>
  </si>
  <si>
    <t>56E3B0</t>
  </si>
  <si>
    <t>02:1120:008</t>
  </si>
  <si>
    <t>643F8A9</t>
  </si>
  <si>
    <t>56E397</t>
  </si>
  <si>
    <t>02:1120:009</t>
  </si>
  <si>
    <t>64524B2</t>
  </si>
  <si>
    <t>56E37E</t>
  </si>
  <si>
    <t>02:1120:010</t>
  </si>
  <si>
    <t>645244F</t>
  </si>
  <si>
    <t>56E365</t>
  </si>
  <si>
    <t>56E310</t>
  </si>
  <si>
    <t>56E2F7</t>
  </si>
  <si>
    <t>56E2DE</t>
  </si>
  <si>
    <t>56E2C5</t>
  </si>
  <si>
    <t>Local piscine r40 clp3</t>
  </si>
  <si>
    <t>02:1110:096</t>
  </si>
  <si>
    <t>6462A37</t>
  </si>
  <si>
    <t>56E248</t>
  </si>
  <si>
    <t>TAG1:61C65A_TAG2:-30426.493652_TAG3:64710.251160_TAG_END</t>
  </si>
  <si>
    <t>02:1110:085</t>
  </si>
  <si>
    <t>6462907</t>
  </si>
  <si>
    <t>56E22F</t>
  </si>
  <si>
    <t>02:1110:087</t>
  </si>
  <si>
    <t>643F307</t>
  </si>
  <si>
    <t>56E216</t>
  </si>
  <si>
    <t>Neutralisation</t>
  </si>
  <si>
    <t>02:1110:086</t>
  </si>
  <si>
    <t>645BF84</t>
  </si>
  <si>
    <t>56E1FD</t>
  </si>
  <si>
    <t>TAG1:61C65B_TAG2:-30399.058485_TAG3:64726.133062_TAG_END</t>
  </si>
  <si>
    <t>02:1110:088</t>
  </si>
  <si>
    <t>64522D6</t>
  </si>
  <si>
    <t>56E1E4</t>
  </si>
  <si>
    <t>Local ventilation r39 clp3</t>
  </si>
  <si>
    <t>02:1110:092</t>
  </si>
  <si>
    <t>643F85E</t>
  </si>
  <si>
    <t>56E1CB</t>
  </si>
  <si>
    <t>TAG1:61C65C_TAG2:-30346.050365_TAG3:64708.939074_TAG_END</t>
  </si>
  <si>
    <t>02:1110:094</t>
  </si>
  <si>
    <t>6452506</t>
  </si>
  <si>
    <t>56E1B2</t>
  </si>
  <si>
    <t>02:1110:097</t>
  </si>
  <si>
    <t>645B6D6</t>
  </si>
  <si>
    <t>56E199</t>
  </si>
  <si>
    <t>02:1110:093</t>
  </si>
  <si>
    <t>643F854</t>
  </si>
  <si>
    <t>56E180</t>
  </si>
  <si>
    <t>Couloir de service</t>
  </si>
  <si>
    <t>02:1110:074</t>
  </si>
  <si>
    <t>643F35D</t>
  </si>
  <si>
    <t>56E0DB</t>
  </si>
  <si>
    <t>TAG1:61C681_TAG2:-30705.106540_TAG3:64754.874400_TAG_END</t>
  </si>
  <si>
    <t>56E0C2</t>
  </si>
  <si>
    <t>56E0A9</t>
  </si>
  <si>
    <t>56E090</t>
  </si>
  <si>
    <t>56E077</t>
  </si>
  <si>
    <t>02:1110:069</t>
  </si>
  <si>
    <t>64626B6</t>
  </si>
  <si>
    <t>56E05E</t>
  </si>
  <si>
    <t>02:1110:068</t>
  </si>
  <si>
    <t>64628DF</t>
  </si>
  <si>
    <t>56E045</t>
  </si>
  <si>
    <t>56E02C</t>
  </si>
  <si>
    <t>02:1110:067</t>
  </si>
  <si>
    <t>6462881</t>
  </si>
  <si>
    <t>56E013</t>
  </si>
  <si>
    <t>56DFFA</t>
  </si>
  <si>
    <t>56DFE1</t>
  </si>
  <si>
    <t>56DFC8</t>
  </si>
  <si>
    <t>56DFAF</t>
  </si>
  <si>
    <t>56DF96</t>
  </si>
  <si>
    <t>02:1110:091</t>
  </si>
  <si>
    <t>64627E7</t>
  </si>
  <si>
    <t>56DF7D</t>
  </si>
  <si>
    <t>Room service r42 clp3</t>
  </si>
  <si>
    <t>02:1110:079</t>
  </si>
  <si>
    <t>643F3F1</t>
  </si>
  <si>
    <t>56DF14</t>
  </si>
  <si>
    <t>TAG1:61C66A_TAG2:-30483.251853_TAG3:64706.406807_TAG_END</t>
  </si>
  <si>
    <t>Hall / cuisine A office d'étage</t>
  </si>
  <si>
    <t>02:1110:037</t>
  </si>
  <si>
    <t>645208A</t>
  </si>
  <si>
    <t>56DEFB</t>
  </si>
  <si>
    <t>TAG1:61C66B_TAG2:-30508.561454_TAG3:64656.561093_TAG_END</t>
  </si>
  <si>
    <t>56DEE2</t>
  </si>
  <si>
    <t>56DEC9</t>
  </si>
  <si>
    <t>56DEB0</t>
  </si>
  <si>
    <t>Sur chambre froide bar</t>
  </si>
  <si>
    <t>02:1110:029</t>
  </si>
  <si>
    <t>645204F</t>
  </si>
  <si>
    <t>56DE97</t>
  </si>
  <si>
    <t>TAG1:61C66C_TAG2:-30259.009350_TAG3:64666.749341_TAG_END</t>
  </si>
  <si>
    <t>02:1110:028</t>
  </si>
  <si>
    <t>6452292</t>
  </si>
  <si>
    <t>56DE7E</t>
  </si>
  <si>
    <t>TAG1:61C66D_TAG2:-30226.684933_TAG3:64665.737414_TAG_END</t>
  </si>
  <si>
    <t>02:1110:027</t>
  </si>
  <si>
    <t>6462A45</t>
  </si>
  <si>
    <t>56DE65</t>
  </si>
  <si>
    <t>TAG1:61C66E_TAG2:-30214.709506_TAG3:64640.803238_TAG_END</t>
  </si>
  <si>
    <t>Restaurant</t>
  </si>
  <si>
    <t>02:1110:031</t>
  </si>
  <si>
    <t>64629E3</t>
  </si>
  <si>
    <t>56DE4C</t>
  </si>
  <si>
    <t>TAG1:61C66F_TAG2:-30353.311775_TAG3:64626.757533_TAG_END</t>
  </si>
  <si>
    <t>02:1110:032</t>
  </si>
  <si>
    <t>64628F4</t>
  </si>
  <si>
    <t>56DE33</t>
  </si>
  <si>
    <t>02:1110:030</t>
  </si>
  <si>
    <t>64520B8</t>
  </si>
  <si>
    <t>56DE1A</t>
  </si>
  <si>
    <t>02:1110:033</t>
  </si>
  <si>
    <t>643F402</t>
  </si>
  <si>
    <t>56DE01</t>
  </si>
  <si>
    <t>02:1110:034</t>
  </si>
  <si>
    <t>6452464</t>
  </si>
  <si>
    <t>56DDE8</t>
  </si>
  <si>
    <t>02:1110:035</t>
  </si>
  <si>
    <t>643F34B</t>
  </si>
  <si>
    <t>56DDCF</t>
  </si>
  <si>
    <t>02:1110:036</t>
  </si>
  <si>
    <t>645219F</t>
  </si>
  <si>
    <t>56DDB6</t>
  </si>
  <si>
    <t>56DD9B</t>
  </si>
  <si>
    <t>56DD86</t>
  </si>
  <si>
    <t>56DD69</t>
  </si>
  <si>
    <t>56DD54</t>
  </si>
  <si>
    <t>2ème s-sol / liaison clp2-clp3</t>
  </si>
  <si>
    <t>Couloir de liaison clp2 - clp3</t>
  </si>
  <si>
    <t>Cuisine</t>
  </si>
  <si>
    <t>56DC3D</t>
  </si>
  <si>
    <t>56DC28</t>
  </si>
  <si>
    <t>56DC13</t>
  </si>
  <si>
    <t>56DBFE</t>
  </si>
  <si>
    <t>56DBE9</t>
  </si>
  <si>
    <t>56DBD4</t>
  </si>
  <si>
    <t>Health bar</t>
  </si>
  <si>
    <t>02:0120:003</t>
  </si>
  <si>
    <t>647F007</t>
  </si>
  <si>
    <t>56DB9A</t>
  </si>
  <si>
    <t>TAG1:61C6CA_TAG2:-30731.342687_TAG3:66567.362792_TAG_END</t>
  </si>
  <si>
    <t>02:0120:001</t>
  </si>
  <si>
    <t>647EEDA</t>
  </si>
  <si>
    <t>56DB81</t>
  </si>
  <si>
    <t>Bureau parcours sensoriel</t>
  </si>
  <si>
    <t>02:0120:007</t>
  </si>
  <si>
    <t>647EE68</t>
  </si>
  <si>
    <t>56DB59</t>
  </si>
  <si>
    <t>TAG1:61C6CB_TAG2:-30390.176947_TAG3:66553.810189_TAG_END</t>
  </si>
  <si>
    <t>556823</t>
  </si>
  <si>
    <t>55680A</t>
  </si>
  <si>
    <t>Cabine Thai n°9</t>
  </si>
  <si>
    <t>02:1120:045</t>
  </si>
  <si>
    <t>64523FD</t>
  </si>
  <si>
    <t>5567F1</t>
  </si>
  <si>
    <t>TAG1:61C682_TAG2:-30639.909056_TAG3:65641.189541_TAG_END</t>
  </si>
  <si>
    <t>Cabine Thai n°8</t>
  </si>
  <si>
    <t>02:1120:046</t>
  </si>
  <si>
    <t>64628DD</t>
  </si>
  <si>
    <t>5567D8</t>
  </si>
  <si>
    <t>TAG1:61C683_TAG2:-30609.666128_TAG3:65641.189538_TAG_END</t>
  </si>
  <si>
    <t>Soins 7</t>
  </si>
  <si>
    <t>02:1120:044</t>
  </si>
  <si>
    <t>64522CA</t>
  </si>
  <si>
    <t>5567BF</t>
  </si>
  <si>
    <t>TAG1:61C684_TAG2:-30578.849553_TAG3:65641.189535_TAG_END</t>
  </si>
  <si>
    <t>Soins 6</t>
  </si>
  <si>
    <t>02:1120:043</t>
  </si>
  <si>
    <t>643F2E0</t>
  </si>
  <si>
    <t>5567A6</t>
  </si>
  <si>
    <t>TAG1:61C685_TAG2:-30548.726758_TAG3:65641.189535_TAG_END</t>
  </si>
  <si>
    <t>Soins 5</t>
  </si>
  <si>
    <t>02:1120:042</t>
  </si>
  <si>
    <t>64522A2</t>
  </si>
  <si>
    <t>55678D</t>
  </si>
  <si>
    <t>TAG1:61C686_TAG2:-30519.085497_TAG3:65641.189528_TAG_END</t>
  </si>
  <si>
    <t>Soins 4</t>
  </si>
  <si>
    <t>02:1120:041</t>
  </si>
  <si>
    <t>6452450</t>
  </si>
  <si>
    <t>556774</t>
  </si>
  <si>
    <t>TAG1:61C687_TAG2:-30489.010978_TAG3:65641.189521_TAG_END</t>
  </si>
  <si>
    <t>Soins 3</t>
  </si>
  <si>
    <t>02:1120:040</t>
  </si>
  <si>
    <t>6412C13</t>
  </si>
  <si>
    <t>55675B</t>
  </si>
  <si>
    <t>TAG1:61C688_TAG2:-30458.936477_TAG3:65641.189514_TAG_END</t>
  </si>
  <si>
    <t>Soins 2</t>
  </si>
  <si>
    <t>02:1120:039</t>
  </si>
  <si>
    <t>6412BEB</t>
  </si>
  <si>
    <t>556742</t>
  </si>
  <si>
    <t>TAG1:61C689_TAG2:-30428.861960_TAG3:65641.189507_TAG_END</t>
  </si>
  <si>
    <t>Soins 1</t>
  </si>
  <si>
    <t>02:1120:038</t>
  </si>
  <si>
    <t>6412B72</t>
  </si>
  <si>
    <t>556729</t>
  </si>
  <si>
    <t>TAG1:61C68A_TAG2:-30401.532792_TAG3:65641.168749_TAG_END</t>
  </si>
  <si>
    <t>55670F</t>
  </si>
  <si>
    <t>5566F6</t>
  </si>
  <si>
    <t>5566DD</t>
  </si>
  <si>
    <t>5566C4</t>
  </si>
  <si>
    <t>5566AB</t>
  </si>
  <si>
    <t>556692</t>
  </si>
  <si>
    <t>556675</t>
  </si>
  <si>
    <t>55665B</t>
  </si>
  <si>
    <t>55663A</t>
  </si>
  <si>
    <t>Escaliers extérieurs</t>
  </si>
  <si>
    <t>02:0120:002</t>
  </si>
  <si>
    <t>4AC723A</t>
  </si>
  <si>
    <t>53A484</t>
  </si>
  <si>
    <t>TAG1:61C6C9_TAG2:-30759.638614_TAG3:66589.571649_TAG_END</t>
  </si>
  <si>
    <t>Salle de repos</t>
  </si>
  <si>
    <t>02:0120:004</t>
  </si>
  <si>
    <t>647EF8E</t>
  </si>
  <si>
    <t>53A46B</t>
  </si>
  <si>
    <t>TAG1:61C6CC_TAG2:-30644.197406_TAG3:66549.699143_TAG_END</t>
  </si>
  <si>
    <t>Local tech. 1 parcours sensoriel</t>
  </si>
  <si>
    <t>02:0120:005</t>
  </si>
  <si>
    <t>6471C59</t>
  </si>
  <si>
    <t>53A45A</t>
  </si>
  <si>
    <t>TAG1:61C6CD_TAG2:-30514.671063_TAG3:66569.292350_TAG_END</t>
  </si>
  <si>
    <t>53A441</t>
  </si>
  <si>
    <t>Local tech. 2 parcours sensoriel</t>
  </si>
  <si>
    <t>02:0120:006</t>
  </si>
  <si>
    <t>6471BB4</t>
  </si>
  <si>
    <t>53A430</t>
  </si>
  <si>
    <t>TAG1:61C6CE_TAG2:-30421.374624_TAG3:66568.965928_TAG_END</t>
  </si>
  <si>
    <t>53A411</t>
  </si>
  <si>
    <t>53A3FB</t>
  </si>
  <si>
    <t>53A3E4</t>
  </si>
  <si>
    <t>53A3D2</t>
  </si>
  <si>
    <t>538ED3</t>
  </si>
  <si>
    <t>538EAC</t>
  </si>
  <si>
    <t>538E95</t>
  </si>
  <si>
    <t>538E69</t>
  </si>
  <si>
    <t>534F80</t>
  </si>
  <si>
    <t>534F63</t>
  </si>
  <si>
    <t>Wc restaurant</t>
  </si>
  <si>
    <t>02:1110:018</t>
  </si>
  <si>
    <t>64524F1</t>
  </si>
  <si>
    <t>53410A</t>
  </si>
  <si>
    <t>TAG1:61C665_TAG2:-30143.489072_TAG3:64713.484169_TAG_END</t>
  </si>
  <si>
    <t>Diététique</t>
  </si>
  <si>
    <t>02:1110:021</t>
  </si>
  <si>
    <t>64626C7</t>
  </si>
  <si>
    <t>5340F1</t>
  </si>
  <si>
    <t>TAG1:61C666_TAG2:-30113.041832_TAG3:64686.159592_TAG_END</t>
  </si>
  <si>
    <t>Maître d'hôtel</t>
  </si>
  <si>
    <t>02:1110:020</t>
  </si>
  <si>
    <t>643F87C</t>
  </si>
  <si>
    <t>5340D8</t>
  </si>
  <si>
    <t>TAG1:61C667_TAG2:-30148.094069_TAG3:64688.886007_TAG_END</t>
  </si>
  <si>
    <t>Foyer</t>
  </si>
  <si>
    <t>02:1110:019</t>
  </si>
  <si>
    <t>64629D9</t>
  </si>
  <si>
    <t>5340BF</t>
  </si>
  <si>
    <t>TAG1:61C668_TAG2:-30140.795951_TAG3:64654.411218_TAG_END</t>
  </si>
  <si>
    <t>02:1110:022</t>
  </si>
  <si>
    <t>6462975</t>
  </si>
  <si>
    <t>5340A6</t>
  </si>
  <si>
    <t>02:1110:023</t>
  </si>
  <si>
    <t>645242B</t>
  </si>
  <si>
    <t>53408D</t>
  </si>
  <si>
    <t>02:1110:024</t>
  </si>
  <si>
    <t>643F87B</t>
  </si>
  <si>
    <t>534074</t>
  </si>
  <si>
    <t>Cabine LED</t>
  </si>
  <si>
    <t>02:1120:051</t>
  </si>
  <si>
    <t>64626C5</t>
  </si>
  <si>
    <t>53405B</t>
  </si>
  <si>
    <t>TAG1:61C6AF_TAG2:-30736.154602_TAG3:65640.967478_TAG_END</t>
  </si>
  <si>
    <t>Cabine manucure</t>
  </si>
  <si>
    <t>02:1120:049</t>
  </si>
  <si>
    <t>643F417</t>
  </si>
  <si>
    <t>534042</t>
  </si>
  <si>
    <t>TAG1:61C6B0_TAG2:-30714.944086_TAG3:65641.334255_TAG_END</t>
  </si>
  <si>
    <t>Cabine TAI double</t>
  </si>
  <si>
    <t>02:1120:048</t>
  </si>
  <si>
    <t>64626C1</t>
  </si>
  <si>
    <t>534029</t>
  </si>
  <si>
    <t>TAG1:61C6B1_TAG2:-30685.869159_TAG3:65641.334255_TAG_END</t>
  </si>
  <si>
    <t>Couloir liaison clp3 - clp4</t>
  </si>
  <si>
    <t>02:1120:019</t>
  </si>
  <si>
    <t>640B49C</t>
  </si>
  <si>
    <t>534004</t>
  </si>
  <si>
    <t>TAG1:61C6B4_TAG2:-30381.189099_TAG3:66764.364428_TAG_END</t>
  </si>
  <si>
    <t>02:1120:020</t>
  </si>
  <si>
    <t>640B5D4</t>
  </si>
  <si>
    <t>533FEB</t>
  </si>
  <si>
    <t>02:1120:022</t>
  </si>
  <si>
    <t>640B4CF</t>
  </si>
  <si>
    <t>533FD2</t>
  </si>
  <si>
    <t>02:1120:021</t>
  </si>
  <si>
    <t>640B5C8</t>
  </si>
  <si>
    <t>533FB9</t>
  </si>
  <si>
    <t>Couloir fitness 1 et 2</t>
  </si>
  <si>
    <t>02:1120:050</t>
  </si>
  <si>
    <t>6452231</t>
  </si>
  <si>
    <t>533F96</t>
  </si>
  <si>
    <t>TAG1:61C6A1_TAG2:-30727.395380_TAG3:65611.997138_TAG_END</t>
  </si>
  <si>
    <t>Couloir de sortie entre cabine n°9-10</t>
  </si>
  <si>
    <t>02:1120:047</t>
  </si>
  <si>
    <t>646291E</t>
  </si>
  <si>
    <t>533F7D</t>
  </si>
  <si>
    <t>TAG1:61C6A2_TAG2:-30664.405559_TAG3:65613.193706_TAG_END</t>
  </si>
  <si>
    <t>533F64</t>
  </si>
  <si>
    <t>Sur chambres froides - congélation</t>
  </si>
  <si>
    <t>02:1110:051</t>
  </si>
  <si>
    <t>64522D0</t>
  </si>
  <si>
    <t>533ED3</t>
  </si>
  <si>
    <t>TAG1:61C677_TAG2:-30698.442871_TAG3:64710.138330_TAG_END</t>
  </si>
  <si>
    <t>Livraison</t>
  </si>
  <si>
    <t>02:1110:052</t>
  </si>
  <si>
    <t>646287C</t>
  </si>
  <si>
    <t>533EBA</t>
  </si>
  <si>
    <t>TAG1:61C678_TAG2:-30733.258916_TAG3:64721.857215_TAG_END</t>
  </si>
  <si>
    <t>Economat 2</t>
  </si>
  <si>
    <t>02:1110:054</t>
  </si>
  <si>
    <t>6452295</t>
  </si>
  <si>
    <t>533EA1</t>
  </si>
  <si>
    <t>TAG1:61C679_TAG2:-30751.648964_TAG3:64706.708367_TAG_END</t>
  </si>
  <si>
    <t>Economat 1</t>
  </si>
  <si>
    <t>02:1110:053</t>
  </si>
  <si>
    <t>64626BF</t>
  </si>
  <si>
    <t>533E88</t>
  </si>
  <si>
    <t>TAG1:61C67A_TAG2:-30754.614992_TAG3:64729.328372_TAG_END</t>
  </si>
  <si>
    <t>02:1110:010</t>
  </si>
  <si>
    <t>643D2DA</t>
  </si>
  <si>
    <t>533E6F</t>
  </si>
  <si>
    <t>TAG1:61C651_TAG2:-30437.796718_TAG3:63697.592628_TAG_END</t>
  </si>
  <si>
    <t>02:1110:009</t>
  </si>
  <si>
    <t>645227E</t>
  </si>
  <si>
    <t>533E53</t>
  </si>
  <si>
    <t>02:1110:008</t>
  </si>
  <si>
    <t>64628F3</t>
  </si>
  <si>
    <t>533E3A</t>
  </si>
  <si>
    <t>02:1110:007</t>
  </si>
  <si>
    <t>6462A31</t>
  </si>
  <si>
    <t>533E21</t>
  </si>
  <si>
    <t>02:1110:006</t>
  </si>
  <si>
    <t>6452329</t>
  </si>
  <si>
    <t>533E08</t>
  </si>
  <si>
    <t>02:1110:005</t>
  </si>
  <si>
    <t>6462A2A</t>
  </si>
  <si>
    <t>533DEF</t>
  </si>
  <si>
    <t>02:1110:002</t>
  </si>
  <si>
    <t>643F84B</t>
  </si>
  <si>
    <t>533DD6</t>
  </si>
  <si>
    <t>533DBD</t>
  </si>
  <si>
    <t>533DA4</t>
  </si>
  <si>
    <t>533D8B</t>
  </si>
  <si>
    <t>533D72</t>
  </si>
  <si>
    <t>533D59</t>
  </si>
  <si>
    <t>533D40</t>
  </si>
  <si>
    <t>533D27</t>
  </si>
  <si>
    <t>533D0E</t>
  </si>
  <si>
    <t>Armoire lounge boutique</t>
  </si>
  <si>
    <t>02:0110:006</t>
  </si>
  <si>
    <t>64720C8</t>
  </si>
  <si>
    <t>533CF5</t>
  </si>
  <si>
    <t>TAG1:61C68D_TAG2:-30353.161082_TAG3:65664.421988_TAG_END</t>
  </si>
  <si>
    <t>S perfection</t>
  </si>
  <si>
    <t>02:0110:003</t>
  </si>
  <si>
    <t>647F052</t>
  </si>
  <si>
    <t>533CDC</t>
  </si>
  <si>
    <t>TAG1:61C68E_TAG2:-30314.110136_TAG3:65572.852444_TAG_END</t>
  </si>
  <si>
    <t>Zone lounge boutique</t>
  </si>
  <si>
    <t>02:0110:002</t>
  </si>
  <si>
    <t>6471BE7</t>
  </si>
  <si>
    <t>533CC3</t>
  </si>
  <si>
    <t>TAG1:61C68F_TAG2:-30312.311069_TAG3:65636.891339_TAG_END</t>
  </si>
  <si>
    <t>02:0110:001</t>
  </si>
  <si>
    <t>647EFA3</t>
  </si>
  <si>
    <t>533CAA</t>
  </si>
  <si>
    <t>Zone VIP 2</t>
  </si>
  <si>
    <t>02:0110:011</t>
  </si>
  <si>
    <t>647EFEB</t>
  </si>
  <si>
    <t>533C91</t>
  </si>
  <si>
    <t>TAG1:61C690_TAG2:-30305.400745_TAG3:65680.849999_TAG_END</t>
  </si>
  <si>
    <t>Zone VIP 1</t>
  </si>
  <si>
    <t>02:0110:007</t>
  </si>
  <si>
    <t>6471C01</t>
  </si>
  <si>
    <t>533C78</t>
  </si>
  <si>
    <t>TAG1:61C691_TAG2:-30339.457904_TAG3:65680.849992_TAG_END</t>
  </si>
  <si>
    <t>Staff room hall</t>
  </si>
  <si>
    <t>02:0110:008</t>
  </si>
  <si>
    <t>6471BAE</t>
  </si>
  <si>
    <t>533C5F</t>
  </si>
  <si>
    <t>TAG1:61C692_TAG2:-30354.378763_TAG3:65697.882294_TAG_END</t>
  </si>
  <si>
    <t>Staff room</t>
  </si>
  <si>
    <t>02:0110:010</t>
  </si>
  <si>
    <t>647EE3F</t>
  </si>
  <si>
    <t>533C46</t>
  </si>
  <si>
    <t>TAG1:61C693_TAG2:-30312.852239_TAG3:65710.225972_TAG_END</t>
  </si>
  <si>
    <t>Zone réserve</t>
  </si>
  <si>
    <t>02:0110:009</t>
  </si>
  <si>
    <t>6471B7E</t>
  </si>
  <si>
    <t>533C2D</t>
  </si>
  <si>
    <t>TAG1:61C694_TAG2:-30356.046453_TAG3:65715.832856_TAG_END</t>
  </si>
  <si>
    <t>Local nettoyage / gaine technique</t>
  </si>
  <si>
    <t>02:1120:102</t>
  </si>
  <si>
    <t>640B4A0</t>
  </si>
  <si>
    <t>533C0F</t>
  </si>
  <si>
    <t>TAG1:61C69B_TAG2:-30399.783565_TAG3:65529.514598_TAG_END</t>
  </si>
  <si>
    <t>533C00</t>
  </si>
  <si>
    <t>533BF1</t>
  </si>
  <si>
    <t>02:1120:018</t>
  </si>
  <si>
    <t>64629F9</t>
  </si>
  <si>
    <t>533B6A</t>
  </si>
  <si>
    <t>TAG1:61C6BE_TAG2:-30317.493699_TAG3:66697.000394_TAG_END</t>
  </si>
  <si>
    <t>Gaine technique cafétéria 2</t>
  </si>
  <si>
    <t>02:1120:026</t>
  </si>
  <si>
    <t>6412DEC</t>
  </si>
  <si>
    <t>533B51</t>
  </si>
  <si>
    <t>TAG1:61C6BB_TAG2:-30332.632020_TAG3:66864.709150_TAG_END</t>
  </si>
  <si>
    <t>Back office</t>
  </si>
  <si>
    <t>02:1120:036</t>
  </si>
  <si>
    <t>6462891</t>
  </si>
  <si>
    <t>533B38</t>
  </si>
  <si>
    <t>TAG1:61C6BC_TAG2:-30268.457564_TAG3:66545.427941_TAG_END</t>
  </si>
  <si>
    <t>533B1F</t>
  </si>
  <si>
    <t>533B06</t>
  </si>
  <si>
    <t>533AED</t>
  </si>
  <si>
    <t>533AD4</t>
  </si>
  <si>
    <t>Responsable administration</t>
  </si>
  <si>
    <t>02:1120:030</t>
  </si>
  <si>
    <t>6412AF7</t>
  </si>
  <si>
    <t>533ABB</t>
  </si>
  <si>
    <t>TAG1:61C6BD_TAG2:-30298.883988_TAG3:66746.807827_TAG_END</t>
  </si>
  <si>
    <t>02:1120:024</t>
  </si>
  <si>
    <t>640B3F4</t>
  </si>
  <si>
    <t>533AA2</t>
  </si>
  <si>
    <t>02:1120:023</t>
  </si>
  <si>
    <t>640B56C</t>
  </si>
  <si>
    <t>533A89</t>
  </si>
  <si>
    <t>02:1120:025</t>
  </si>
  <si>
    <t>6412BBE</t>
  </si>
  <si>
    <t>533A70</t>
  </si>
  <si>
    <t>533A25</t>
  </si>
  <si>
    <t>533A0C</t>
  </si>
  <si>
    <t>Fitness 1</t>
  </si>
  <si>
    <t>02:1120:059</t>
  </si>
  <si>
    <t>6462795</t>
  </si>
  <si>
    <t>5339CB</t>
  </si>
  <si>
    <t>TAG1:61C6A8_TAG2:-30790.178497_TAG3:65565.025693_TAG_END</t>
  </si>
  <si>
    <t>Vestiaire homme</t>
  </si>
  <si>
    <t>02:1120:082</t>
  </si>
  <si>
    <t>6462704</t>
  </si>
  <si>
    <t>533980</t>
  </si>
  <si>
    <t>TAG1:61C69D_TAG2:-30426.610747_TAG3:65544.836973_TAG_END</t>
  </si>
  <si>
    <t>Hall service</t>
  </si>
  <si>
    <t>02:1120:092</t>
  </si>
  <si>
    <t>640B3E0</t>
  </si>
  <si>
    <t>533967</t>
  </si>
  <si>
    <t>TAG1:61C69C_TAG2:-30311.274333_TAG3:65545.234720_TAG_END</t>
  </si>
  <si>
    <t>02:1120:099</t>
  </si>
  <si>
    <t>6412D8F</t>
  </si>
  <si>
    <t>53394E</t>
  </si>
  <si>
    <t>02:1120:101</t>
  </si>
  <si>
    <t>6412AF1</t>
  </si>
  <si>
    <t>533935</t>
  </si>
  <si>
    <t>02:1120:100</t>
  </si>
  <si>
    <t>6412B83</t>
  </si>
  <si>
    <t>53391C</t>
  </si>
  <si>
    <t>02:1120:085</t>
  </si>
  <si>
    <t>640B5AE</t>
  </si>
  <si>
    <t>533903</t>
  </si>
  <si>
    <t>02:1120:093</t>
  </si>
  <si>
    <t>6412DFA</t>
  </si>
  <si>
    <t>5338EA</t>
  </si>
  <si>
    <t>02:1120:081</t>
  </si>
  <si>
    <t>6412BBC</t>
  </si>
  <si>
    <t>5338D1</t>
  </si>
  <si>
    <t>02:1120:091</t>
  </si>
  <si>
    <t>6412BAD</t>
  </si>
  <si>
    <t>5338B8</t>
  </si>
  <si>
    <t>02:1110:045</t>
  </si>
  <si>
    <t>6462981</t>
  </si>
  <si>
    <t>53388B</t>
  </si>
  <si>
    <t>TAG1:61C672_TAG2:-30644.519848_TAG3:64654.278386_TAG_END</t>
  </si>
  <si>
    <t>02:1110:046</t>
  </si>
  <si>
    <t>6437C47</t>
  </si>
  <si>
    <t>53383B</t>
  </si>
  <si>
    <t>02:1110:047</t>
  </si>
  <si>
    <t>64522A4</t>
  </si>
  <si>
    <t>533822</t>
  </si>
  <si>
    <t>Chariots</t>
  </si>
  <si>
    <t>02:1110:041</t>
  </si>
  <si>
    <t>64524A1</t>
  </si>
  <si>
    <t>533809</t>
  </si>
  <si>
    <t>TAG1:61C673_TAG2:-30543.738341_TAG3:64720.958536_TAG_END</t>
  </si>
  <si>
    <t>02:1110:042</t>
  </si>
  <si>
    <t>643F2DD</t>
  </si>
  <si>
    <t>5337F0</t>
  </si>
  <si>
    <t>02:1110:039</t>
  </si>
  <si>
    <t>6462837</t>
  </si>
  <si>
    <t>5337D7</t>
  </si>
  <si>
    <t>Bureau chef cuisine</t>
  </si>
  <si>
    <t>02:1110:038</t>
  </si>
  <si>
    <t>64524DB</t>
  </si>
  <si>
    <t>5337BE</t>
  </si>
  <si>
    <t>TAG1:61C674_TAG2:-30556.062152_TAG3:64602.558375_TAG_END</t>
  </si>
  <si>
    <t>02:1110:043</t>
  </si>
  <si>
    <t>643F845</t>
  </si>
  <si>
    <t>5337A5</t>
  </si>
  <si>
    <t>02:1110:049</t>
  </si>
  <si>
    <t>643F721</t>
  </si>
  <si>
    <t>53378C</t>
  </si>
  <si>
    <t>Réfectoire r57 clp3</t>
  </si>
  <si>
    <t>02:1110:058</t>
  </si>
  <si>
    <t>646280D</t>
  </si>
  <si>
    <t>533737</t>
  </si>
  <si>
    <t>TAG1:61C676_TAG2:-30796.028119_TAG3:64650.643114_TAG_END</t>
  </si>
  <si>
    <t>53371E</t>
  </si>
  <si>
    <t>53340B</t>
  </si>
  <si>
    <t>4EF9A5</t>
  </si>
  <si>
    <t>4EF948</t>
  </si>
  <si>
    <t>4EF899</t>
  </si>
  <si>
    <t>4EF6BB</t>
  </si>
  <si>
    <t>4EF6A4</t>
  </si>
  <si>
    <t>4EF68D</t>
  </si>
  <si>
    <t>4EF676</t>
  </si>
  <si>
    <t>4EF65F</t>
  </si>
  <si>
    <t>4EF648</t>
  </si>
  <si>
    <t>4EF631</t>
  </si>
  <si>
    <t>4EF61A</t>
  </si>
  <si>
    <t>Vestiaire faux plafond</t>
  </si>
  <si>
    <t>02:0210:003</t>
  </si>
  <si>
    <t>5209BB2</t>
  </si>
  <si>
    <t>4EECD8</t>
  </si>
  <si>
    <t>TAG1:61C4E8_TAG2:-35320.703271_TAG3:64158.449510_TAG_END</t>
  </si>
  <si>
    <t>Salle de lecture 2 faux plafond</t>
  </si>
  <si>
    <t>02:0210:067</t>
  </si>
  <si>
    <t>51FEFBA</t>
  </si>
  <si>
    <t>4EECC9</t>
  </si>
  <si>
    <t>TAG1:61C4E9_TAG2:-35324.155937_TAG3:64178.206978_TAG_END</t>
  </si>
  <si>
    <t>Dispo faux plafond</t>
  </si>
  <si>
    <t>02:0210:005</t>
  </si>
  <si>
    <t>51FEFB3</t>
  </si>
  <si>
    <t>4EECBA</t>
  </si>
  <si>
    <t>TAG1:61C4EA_TAG2:-35360.538040_TAG3:64143.283252_TAG_END</t>
  </si>
  <si>
    <t>Couloir faux plafond</t>
  </si>
  <si>
    <t>02:0210:063</t>
  </si>
  <si>
    <t>4FA2AFB</t>
  </si>
  <si>
    <t>4EECAB</t>
  </si>
  <si>
    <t>TAG1:61C4EB_TAG2:-35454.712751_TAG3:64195.210227_TAG_END</t>
  </si>
  <si>
    <t>Salle préparation faux plafond</t>
  </si>
  <si>
    <t>02:0210:011</t>
  </si>
  <si>
    <t>51FF4CC</t>
  </si>
  <si>
    <t>4EEC9C</t>
  </si>
  <si>
    <t>TAG1:61C4EC_TAG2:-35375.737518_TAG3:64174.388578_TAG_END</t>
  </si>
  <si>
    <t>Sas IRM 2 faux plafond</t>
  </si>
  <si>
    <t>02:0210:016</t>
  </si>
  <si>
    <t>5209BBC</t>
  </si>
  <si>
    <t>4EEC8D</t>
  </si>
  <si>
    <t>TAG1:61C4ED_TAG2:-35400.937033_TAG3:64174.447913_TAG_END</t>
  </si>
  <si>
    <t>Esp densitométrie faux plafond</t>
  </si>
  <si>
    <t>02:0210:017</t>
  </si>
  <si>
    <t>51FF6DD</t>
  </si>
  <si>
    <t>4EEC7E</t>
  </si>
  <si>
    <t>TAG1:61C4EE_TAG2:-35419.019697_TAG3:64178.801767_TAG_END</t>
  </si>
  <si>
    <t>02:0210:019</t>
  </si>
  <si>
    <t>51FF4DC</t>
  </si>
  <si>
    <t>4EEC6F</t>
  </si>
  <si>
    <t>02:0210:034</t>
  </si>
  <si>
    <t>51FF55E</t>
  </si>
  <si>
    <t>4EEC60</t>
  </si>
  <si>
    <t>02:0210:035</t>
  </si>
  <si>
    <t>51FF5BF</t>
  </si>
  <si>
    <t>4EEC51</t>
  </si>
  <si>
    <t>Salle osseux faux plafond</t>
  </si>
  <si>
    <t>02:0210:043</t>
  </si>
  <si>
    <t>52639D6</t>
  </si>
  <si>
    <t>4EEC42</t>
  </si>
  <si>
    <t>TAG1:61C4EF_TAG2:-35535.252787_TAG3:64266.273533_TAG_END</t>
  </si>
  <si>
    <t>02:0210:047</t>
  </si>
  <si>
    <t>5264633</t>
  </si>
  <si>
    <t>4EEC33</t>
  </si>
  <si>
    <t>48ACD8</t>
  </si>
  <si>
    <t>48A0AA</t>
  </si>
  <si>
    <t>31CA84</t>
  </si>
  <si>
    <t>31CA6F</t>
  </si>
  <si>
    <t>31CA59</t>
  </si>
  <si>
    <t>31CA2E</t>
  </si>
  <si>
    <t>BA5B5</t>
  </si>
  <si>
    <t>BA5A3</t>
  </si>
  <si>
    <t>BA582</t>
  </si>
  <si>
    <t>BA566</t>
  </si>
  <si>
    <t>B9925</t>
  </si>
  <si>
    <t>B990C</t>
  </si>
  <si>
    <t>B9904</t>
  </si>
  <si>
    <t>B98E0</t>
  </si>
  <si>
    <t>B98DA</t>
  </si>
  <si>
    <t>B98D4</t>
  </si>
  <si>
    <t>AD843</t>
  </si>
  <si>
    <t>AD83B</t>
  </si>
  <si>
    <t>AD826</t>
  </si>
  <si>
    <t>AD809</t>
  </si>
  <si>
    <t>AD803</t>
  </si>
  <si>
    <t>A289F</t>
  </si>
  <si>
    <t>A286C</t>
  </si>
  <si>
    <t>A2860</t>
  </si>
  <si>
    <t>A285A</t>
  </si>
  <si>
    <t>8ECA8</t>
  </si>
  <si>
    <t>8EC99</t>
  </si>
  <si>
    <t>8EC8E</t>
  </si>
  <si>
    <t>L</t>
  </si>
  <si>
    <t>BF3C</t>
  </si>
  <si>
    <t>Hall entrée fx-plafond ch. 411-412</t>
  </si>
  <si>
    <t>01:1110:023</t>
  </si>
  <si>
    <t>643F8AC</t>
  </si>
  <si>
    <t>BF24</t>
  </si>
  <si>
    <t>BF13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</si>
</sst>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2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6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sz val="16"/>
      <color theme="6" tint="-0.249977111117893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1"/>
      <color theme="1"/>
      <name val="Wingdings 3"/>
      <family val="1"/>
      <charset val="2"/>
    </font>
    <font>
      <sz val="11"/>
      <color theme="8" tint="0.39997558519241921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6"/>
      <color theme="6" tint="-0.249977111117893"/>
      <name val="Aptos Narrow"/>
      <family val="2"/>
      <scheme val="minor"/>
    </font>
    <font>
      <sz val="11"/>
      <color rgb="FF83E28E"/>
      <name val="Aptos Narrow"/>
      <family val="2"/>
      <scheme val="minor"/>
    </font>
    <font>
      <b/>
      <sz val="11"/>
      <color rgb="FF83E28E"/>
      <name val="Aptos Narrow"/>
      <family val="2"/>
      <scheme val="minor"/>
    </font>
    <font>
      <b/>
      <i/>
      <sz val="11"/>
      <name val="Aptos Narrow"/>
      <family val="2"/>
      <scheme val="minor"/>
    </font>
    <font>
      <sz val="12"/>
      <color rgb="FF424242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theme="7" tint="0.79998168889431442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83E28E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88">
    <xf numFmtId="0" fontId="0" fillId="0" borderId="0" xfId="0"/>
    <xf numFmtId="0" fontId="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4" xfId="0" applyFont="1" applyBorder="1"/>
    <xf numFmtId="0" fontId="4" fillId="0" borderId="5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4" xfId="0" applyFont="1" applyBorder="1"/>
    <xf numFmtId="0" fontId="2" fillId="0" borderId="5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/>
    <xf numFmtId="0" fontId="3" fillId="0" borderId="5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4" xfId="0" applyFont="1" applyBorder="1"/>
    <xf numFmtId="0" fontId="6" fillId="0" borderId="5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4" xfId="0" applyFont="1" applyBorder="1"/>
    <xf numFmtId="0" fontId="5" fillId="0" borderId="5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1"/>
    <xf numFmtId="0" fontId="9" fillId="0" borderId="0" xfId="2"/>
    <xf numFmtId="0" fontId="8" fillId="0" borderId="0" xfId="3"/>
    <xf numFmtId="0" fontId="9" fillId="0" borderId="0" xfId="2" applyAlignment="1">
      <alignment horizontal="left"/>
    </xf>
    <xf numFmtId="0" fontId="1" fillId="0" borderId="0" xfId="1" applyAlignment="1">
      <alignment horizontal="left"/>
    </xf>
    <xf numFmtId="0" fontId="8" fillId="0" borderId="0" xfId="3" applyAlignment="1">
      <alignment horizontal="left"/>
    </xf>
    <xf numFmtId="0" fontId="1" fillId="0" borderId="0" xfId="1" applyAlignment="1">
      <alignment horizontal="center"/>
    </xf>
    <xf numFmtId="0" fontId="9" fillId="0" borderId="0" xfId="2" applyAlignment="1">
      <alignment horizontal="center"/>
    </xf>
    <xf numFmtId="0" fontId="8" fillId="0" borderId="0" xfId="3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center"/>
    </xf>
    <xf numFmtId="49" fontId="1" fillId="0" borderId="0" xfId="1" applyNumberFormat="1" applyAlignment="1">
      <alignment horizontal="center"/>
    </xf>
    <xf numFmtId="49" fontId="9" fillId="0" borderId="0" xfId="2" applyNumberFormat="1" applyAlignment="1">
      <alignment horizontal="center"/>
    </xf>
    <xf numFmtId="49" fontId="8" fillId="0" borderId="0" xfId="3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1" fontId="11" fillId="0" borderId="0" xfId="0" applyNumberFormat="1" applyFont="1" applyAlignment="1">
      <alignment horizontal="center" vertical="center"/>
    </xf>
    <xf numFmtId="49" fontId="0" fillId="0" borderId="9" xfId="0" applyNumberFormat="1" applyBorder="1" applyAlignment="1">
      <alignment vertical="center"/>
    </xf>
    <xf numFmtId="0" fontId="0" fillId="0" borderId="9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" fillId="0" borderId="5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49" fontId="1" fillId="0" borderId="12" xfId="0" applyNumberFormat="1" applyFont="1" applyBorder="1" applyAlignment="1">
      <alignment horizontal="center" vertical="center" wrapText="1"/>
    </xf>
    <xf numFmtId="0" fontId="0" fillId="0" borderId="4" xfId="0" applyBorder="1" applyAlignment="1">
      <alignment vertical="center"/>
    </xf>
    <xf numFmtId="0" fontId="13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9" xfId="0" applyNumberFormat="1" applyFill="1" applyBorder="1" applyAlignment="1">
      <alignment vertical="center"/>
    </xf>
    <xf numFmtId="0" fontId="0" fillId="2" borderId="9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/>
    </xf>
    <xf numFmtId="49" fontId="0" fillId="6" borderId="9" xfId="0" applyNumberForma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1" fontId="17" fillId="0" borderId="9" xfId="0" applyNumberFormat="1" applyFont="1" applyBorder="1" applyAlignment="1">
      <alignment horizontal="center" vertical="center"/>
    </xf>
    <xf numFmtId="1" fontId="17" fillId="2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" fillId="7" borderId="0" xfId="0" applyFont="1" applyFill="1" applyAlignment="1">
      <alignment vertical="center"/>
    </xf>
    <xf numFmtId="0" fontId="1" fillId="7" borderId="0" xfId="0" applyFont="1" applyFill="1" applyAlignment="1">
      <alignment horizontal="left" vertical="center"/>
    </xf>
    <xf numFmtId="1" fontId="1" fillId="7" borderId="0" xfId="0" applyNumberFormat="1" applyFont="1" applyFill="1" applyAlignment="1">
      <alignment horizontal="center" vertical="center"/>
    </xf>
    <xf numFmtId="49" fontId="1" fillId="7" borderId="0" xfId="0" applyNumberFormat="1" applyFont="1" applyFill="1" applyAlignment="1">
      <alignment vertical="center"/>
    </xf>
    <xf numFmtId="49" fontId="1" fillId="7" borderId="0" xfId="0" applyNumberFormat="1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" fontId="13" fillId="7" borderId="0" xfId="0" applyNumberFormat="1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49" fontId="17" fillId="0" borderId="9" xfId="0" applyNumberFormat="1" applyFont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0" fontId="25" fillId="0" borderId="0" xfId="0" applyFont="1"/>
    <xf numFmtId="0" fontId="19" fillId="0" borderId="4" xfId="0" applyFont="1" applyBorder="1"/>
    <xf numFmtId="0" fontId="19" fillId="0" borderId="0" xfId="0" applyFont="1"/>
    <xf numFmtId="0" fontId="19" fillId="0" borderId="5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1" fontId="0" fillId="0" borderId="0" xfId="0" applyNumberFormat="1"/>
    <xf numFmtId="11" fontId="8" fillId="0" borderId="0" xfId="3" applyNumberFormat="1"/>
    <xf numFmtId="164" fontId="0" fillId="0" borderId="0" xfId="0" applyNumberFormat="1" applyAlignment="1">
      <alignment horizontal="left" vertical="center"/>
    </xf>
    <xf numFmtId="164" fontId="1" fillId="7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5" fontId="0" fillId="0" borderId="0" xfId="0" applyNumberFormat="1"/>
    <xf numFmtId="0" fontId="17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vertical="center"/>
    </xf>
    <xf numFmtId="0" fontId="0" fillId="3" borderId="9" xfId="0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20" fillId="4" borderId="19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1" fontId="1" fillId="0" borderId="17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" fontId="1" fillId="0" borderId="18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3" fillId="4" borderId="32" xfId="0" applyFont="1" applyFill="1" applyBorder="1" applyAlignment="1">
      <alignment horizontal="left" vertical="center"/>
    </xf>
    <xf numFmtId="0" fontId="13" fillId="4" borderId="41" xfId="0" applyFont="1" applyFill="1" applyBorder="1" applyAlignment="1">
      <alignment horizontal="left" vertical="center"/>
    </xf>
    <xf numFmtId="0" fontId="13" fillId="4" borderId="11" xfId="0" applyFont="1" applyFill="1" applyBorder="1" applyAlignment="1">
      <alignment horizontal="left" vertical="center"/>
    </xf>
    <xf numFmtId="0" fontId="13" fillId="4" borderId="37" xfId="0" applyFont="1" applyFill="1" applyBorder="1" applyAlignment="1">
      <alignment horizontal="left" vertical="center"/>
    </xf>
    <xf numFmtId="14" fontId="11" fillId="5" borderId="38" xfId="0" applyNumberFormat="1" applyFont="1" applyFill="1" applyBorder="1" applyAlignment="1">
      <alignment horizontal="left" vertical="center"/>
    </xf>
    <xf numFmtId="0" fontId="11" fillId="5" borderId="30" xfId="0" applyFont="1" applyFill="1" applyBorder="1" applyAlignment="1">
      <alignment horizontal="left" vertical="center"/>
    </xf>
    <xf numFmtId="14" fontId="11" fillId="5" borderId="33" xfId="0" applyNumberFormat="1" applyFont="1" applyFill="1" applyBorder="1" applyAlignment="1">
      <alignment horizontal="left" vertical="center"/>
    </xf>
    <xf numFmtId="14" fontId="11" fillId="5" borderId="30" xfId="0" applyNumberFormat="1" applyFont="1" applyFill="1" applyBorder="1" applyAlignment="1">
      <alignment horizontal="left" vertical="center"/>
    </xf>
    <xf numFmtId="0" fontId="11" fillId="5" borderId="33" xfId="0" applyFont="1" applyFill="1" applyBorder="1" applyAlignment="1">
      <alignment horizontal="left" vertical="center"/>
    </xf>
    <xf numFmtId="0" fontId="11" fillId="5" borderId="40" xfId="0" applyFont="1" applyFill="1" applyBorder="1" applyAlignment="1">
      <alignment horizontal="left" vertical="center"/>
    </xf>
    <xf numFmtId="0" fontId="11" fillId="5" borderId="28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5" borderId="32" xfId="0" applyFont="1" applyFill="1" applyBorder="1" applyAlignment="1">
      <alignment horizontal="left" vertical="center"/>
    </xf>
    <xf numFmtId="0" fontId="11" fillId="5" borderId="41" xfId="0" applyFont="1" applyFill="1" applyBorder="1" applyAlignment="1">
      <alignment horizontal="left" vertical="center"/>
    </xf>
    <xf numFmtId="0" fontId="11" fillId="5" borderId="1" xfId="0" applyFont="1" applyFill="1" applyBorder="1" applyAlignment="1">
      <alignment horizontal="left" vertical="center"/>
    </xf>
    <xf numFmtId="0" fontId="11" fillId="5" borderId="3" xfId="0" applyFont="1" applyFill="1" applyBorder="1" applyAlignment="1">
      <alignment horizontal="left" vertical="center"/>
    </xf>
    <xf numFmtId="0" fontId="11" fillId="5" borderId="6" xfId="0" applyFont="1" applyFill="1" applyBorder="1" applyAlignment="1">
      <alignment horizontal="left" vertical="center"/>
    </xf>
    <xf numFmtId="0" fontId="11" fillId="5" borderId="8" xfId="0" applyFont="1" applyFill="1" applyBorder="1" applyAlignment="1">
      <alignment horizontal="left" vertical="center"/>
    </xf>
    <xf numFmtId="0" fontId="13" fillId="8" borderId="34" xfId="0" applyFont="1" applyFill="1" applyBorder="1" applyAlignment="1">
      <alignment horizontal="left" vertical="center"/>
    </xf>
    <xf numFmtId="0" fontId="13" fillId="8" borderId="35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3" fillId="8" borderId="8" xfId="0" applyFont="1" applyFill="1" applyBorder="1" applyAlignment="1">
      <alignment horizontal="left" vertical="center"/>
    </xf>
    <xf numFmtId="0" fontId="13" fillId="4" borderId="36" xfId="0" applyFont="1" applyFill="1" applyBorder="1" applyAlignment="1">
      <alignment horizontal="left" vertical="center"/>
    </xf>
    <xf numFmtId="0" fontId="13" fillId="4" borderId="29" xfId="0" applyFont="1" applyFill="1" applyBorder="1" applyAlignment="1">
      <alignment horizontal="left" vertical="center"/>
    </xf>
    <xf numFmtId="0" fontId="13" fillId="4" borderId="31" xfId="0" applyFont="1" applyFill="1" applyBorder="1" applyAlignment="1">
      <alignment horizontal="left" vertical="center"/>
    </xf>
    <xf numFmtId="0" fontId="13" fillId="4" borderId="39" xfId="0" applyFont="1" applyFill="1" applyBorder="1" applyAlignment="1">
      <alignment horizontal="left" vertical="center"/>
    </xf>
    <xf numFmtId="0" fontId="13" fillId="4" borderId="26" xfId="0" applyFont="1" applyFill="1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</cellXfs>
  <cellStyles count="4">
    <cellStyle name="NiveauLigne_1" xfId="1" builtinId="1" iLevel="0"/>
    <cellStyle name="NiveauLigne_2" xfId="2" builtinId="1" iLevel="1"/>
    <cellStyle name="NiveauLigne_3" xfId="3" builtinId="1" iLevel="2"/>
    <cellStyle name="Normal" xfId="0" builtinId="0"/>
  </cellStyles>
  <dxfs count="37"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7030A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</dxf>
    <dxf>
      <font>
        <color rgb="FFFF0000"/>
      </font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mruColors>
      <color rgb="FF83E28E"/>
      <color rgb="FF99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8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</xdr:row>
          <xdr:rowOff>28575</xdr:rowOff>
        </xdr:from>
        <xdr:to>
          <xdr:col>7</xdr:col>
          <xdr:colOff>857250</xdr:colOff>
          <xdr:row>4</xdr:row>
          <xdr:rowOff>152400</xdr:rowOff>
        </xdr:to>
        <xdr:sp macro="" textlink="">
          <xdr:nvSpPr>
            <xdr:cNvPr id="4098" name="cmdInsertFram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3</xdr:row>
          <xdr:rowOff>28575</xdr:rowOff>
        </xdr:from>
        <xdr:to>
          <xdr:col>8</xdr:col>
          <xdr:colOff>781050</xdr:colOff>
          <xdr:row>4</xdr:row>
          <xdr:rowOff>152400</xdr:rowOff>
        </xdr:to>
        <xdr:sp macro="" textlink="">
          <xdr:nvSpPr>
            <xdr:cNvPr id="4099" name="cmdRedimMinu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</xdr:row>
          <xdr:rowOff>28575</xdr:rowOff>
        </xdr:from>
        <xdr:to>
          <xdr:col>8</xdr:col>
          <xdr:colOff>400050</xdr:colOff>
          <xdr:row>4</xdr:row>
          <xdr:rowOff>152400</xdr:rowOff>
        </xdr:to>
        <xdr:sp macro="" textlink="">
          <xdr:nvSpPr>
            <xdr:cNvPr id="4100" name="cmdRedimPlu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28575</xdr:rowOff>
        </xdr:from>
        <xdr:to>
          <xdr:col>7</xdr:col>
          <xdr:colOff>857250</xdr:colOff>
          <xdr:row>6</xdr:row>
          <xdr:rowOff>142875</xdr:rowOff>
        </xdr:to>
        <xdr:sp macro="" textlink="">
          <xdr:nvSpPr>
            <xdr:cNvPr id="4101" name="cmdReadFrame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28575</xdr:rowOff>
        </xdr:from>
        <xdr:to>
          <xdr:col>9</xdr:col>
          <xdr:colOff>904875</xdr:colOff>
          <xdr:row>4</xdr:row>
          <xdr:rowOff>152400</xdr:rowOff>
        </xdr:to>
        <xdr:sp macro="" textlink="">
          <xdr:nvSpPr>
            <xdr:cNvPr id="4102" name="cmdRefreshTex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11</xdr:row>
          <xdr:rowOff>38100</xdr:rowOff>
        </xdr:from>
        <xdr:to>
          <xdr:col>9</xdr:col>
          <xdr:colOff>876300</xdr:colOff>
          <xdr:row>12</xdr:row>
          <xdr:rowOff>161925</xdr:rowOff>
        </xdr:to>
        <xdr:sp macro="" textlink="">
          <xdr:nvSpPr>
            <xdr:cNvPr id="4103" name="cmdZoomWindow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11</xdr:row>
          <xdr:rowOff>38100</xdr:rowOff>
        </xdr:from>
        <xdr:to>
          <xdr:col>7</xdr:col>
          <xdr:colOff>847725</xdr:colOff>
          <xdr:row>12</xdr:row>
          <xdr:rowOff>161925</xdr:rowOff>
        </xdr:to>
        <xdr:sp macro="" textlink="">
          <xdr:nvSpPr>
            <xdr:cNvPr id="4104" name="cmdUpdateTab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7</xdr:row>
          <xdr:rowOff>38100</xdr:rowOff>
        </xdr:from>
        <xdr:to>
          <xdr:col>7</xdr:col>
          <xdr:colOff>847725</xdr:colOff>
          <xdr:row>8</xdr:row>
          <xdr:rowOff>161925</xdr:rowOff>
        </xdr:to>
        <xdr:sp macro="" textlink="">
          <xdr:nvSpPr>
            <xdr:cNvPr id="4105" name="cmdReadTab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13</xdr:row>
          <xdr:rowOff>57150</xdr:rowOff>
        </xdr:from>
        <xdr:to>
          <xdr:col>3</xdr:col>
          <xdr:colOff>0</xdr:colOff>
          <xdr:row>14</xdr:row>
          <xdr:rowOff>123825</xdr:rowOff>
        </xdr:to>
        <xdr:sp macro="" textlink="">
          <xdr:nvSpPr>
            <xdr:cNvPr id="4110" name="cmdUpdateLevel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9</xdr:row>
          <xdr:rowOff>38100</xdr:rowOff>
        </xdr:from>
        <xdr:to>
          <xdr:col>7</xdr:col>
          <xdr:colOff>847725</xdr:colOff>
          <xdr:row>10</xdr:row>
          <xdr:rowOff>161925</xdr:rowOff>
        </xdr:to>
        <xdr:sp macro="" textlink="">
          <xdr:nvSpPr>
            <xdr:cNvPr id="4111" name="cmdReadTitleBlock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1276350</xdr:colOff>
          <xdr:row>3</xdr:row>
          <xdr:rowOff>28575</xdr:rowOff>
        </xdr:from>
        <xdr:to>
          <xdr:col>9</xdr:col>
          <xdr:colOff>2076450</xdr:colOff>
          <xdr:row>4</xdr:row>
          <xdr:rowOff>142875</xdr:rowOff>
        </xdr:to>
        <xdr:sp macro="" textlink="">
          <xdr:nvSpPr>
            <xdr:cNvPr id="4116" name="cmdReadAll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76200</xdr:rowOff>
        </xdr:from>
        <xdr:to>
          <xdr:col>11</xdr:col>
          <xdr:colOff>276225</xdr:colOff>
          <xdr:row>2</xdr:row>
          <xdr:rowOff>47625</xdr:rowOff>
        </xdr:to>
        <xdr:sp macro="" textlink="">
          <xdr:nvSpPr>
            <xdr:cNvPr id="4121" name="cmdResetCheckList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66675</xdr:rowOff>
        </xdr:from>
        <xdr:to>
          <xdr:col>1</xdr:col>
          <xdr:colOff>781050</xdr:colOff>
          <xdr:row>0</xdr:row>
          <xdr:rowOff>333375</xdr:rowOff>
        </xdr:to>
        <xdr:sp macro="" textlink="">
          <xdr:nvSpPr>
            <xdr:cNvPr id="1025" name="cmdUser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66675</xdr:rowOff>
        </xdr:from>
        <xdr:to>
          <xdr:col>3</xdr:col>
          <xdr:colOff>790575</xdr:colOff>
          <xdr:row>0</xdr:row>
          <xdr:rowOff>333375</xdr:rowOff>
        </xdr:to>
        <xdr:sp macro="" textlink="">
          <xdr:nvSpPr>
            <xdr:cNvPr id="1026" name="cmdTreeView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66675</xdr:rowOff>
        </xdr:from>
        <xdr:to>
          <xdr:col>4</xdr:col>
          <xdr:colOff>819150</xdr:colOff>
          <xdr:row>0</xdr:row>
          <xdr:rowOff>333375</xdr:rowOff>
        </xdr:to>
        <xdr:sp macro="" textlink="">
          <xdr:nvSpPr>
            <xdr:cNvPr id="1027" name="cmdCheck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6145" name="cmdGro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0</xdr:row>
          <xdr:rowOff>200025</xdr:rowOff>
        </xdr:from>
        <xdr:to>
          <xdr:col>21</xdr:col>
          <xdr:colOff>0</xdr:colOff>
          <xdr:row>2</xdr:row>
          <xdr:rowOff>0</xdr:rowOff>
        </xdr:to>
        <xdr:sp macro="" textlink="">
          <xdr:nvSpPr>
            <xdr:cNvPr id="6146" name="cmdReadGro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24</xdr:row>
      <xdr:rowOff>0</xdr:rowOff>
    </xdr:from>
    <xdr:to>
      <xdr:col>8</xdr:col>
      <xdr:colOff>294952</xdr:colOff>
      <xdr:row>25</xdr:row>
      <xdr:rowOff>123786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EEAC8324-F48D-DCE7-12CD-F4B246A20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7475" y="4572000"/>
          <a:ext cx="2580952" cy="31428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D7B6DA-6A27-4A79-8B72-738F8D1C41C5}" name="FloorStructure" displayName="FloorStructure" ref="B16:F35" totalsRowShown="0" headerRowDxfId="28" dataDxfId="26" headerRowBorderDxfId="27" tableBorderDxfId="25">
  <autoFilter ref="B16:F35" xr:uid="{E8D7B6DA-6A27-4A79-8B72-738F8D1C41C5}"/>
  <tableColumns count="5">
    <tableColumn id="1" xr3:uid="{5C382161-D9F3-4788-B135-B68C617AF11E}" name="Projet" dataDxfId="24"/>
    <tableColumn id="12" xr3:uid="{D507054C-8EBA-447F-A486-B7172C361B20}" name="Onglet" dataDxfId="23"/>
    <tableColumn id="2" xr3:uid="{D8ED8E57-BDC1-45B4-809A-AB497F7BB36D}" name="Cartouche" dataDxfId="22"/>
    <tableColumn id="4" xr3:uid="{C4F0BA1F-F93F-4504-927B-9796E87C93B7}" name="Élévation" dataDxfId="21"/>
    <tableColumn id="5" xr3:uid="{3E948C15-B4C8-4D18-BFD6-0814FFF46F17}" name="Cadre" dataDxfId="20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F65A35-6A86-44B7-85EF-9E8C5C8D1A8B}" name="TabNames" displayName="TabNames" ref="H16:J25" totalsRowShown="0" headerRowDxfId="19" dataDxfId="17" headerRowBorderDxfId="18" tableBorderDxfId="16" totalsRowBorderDxfId="15">
  <autoFilter ref="H16:J25" xr:uid="{D8F65A35-6A86-44B7-85EF-9E8C5C8D1A8B}"/>
  <tableColumns count="3">
    <tableColumn id="1" xr3:uid="{F79370DD-7A1A-4F01-95D8-E142D69E0F47}" name="ACT" dataDxfId="14"/>
    <tableColumn id="2" xr3:uid="{71E4CC09-9C82-45D8-9FB3-108EEB557F0A}" name="NEW" dataDxfId="13"/>
    <tableColumn id="3" xr3:uid="{5769B7DB-3EF3-42CD-9F41-DBD3545C6346}" name="Cartouche" dataDxfId="12">
      <calculatedColumnFormula>IFERROR(VLOOKUP(TabNames[[#This Row],[NEW]],FloorStructure[[Onglet]:[Cartouche]],2,FALSE),"")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table" Target="../tables/table1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3.emf"/><Relationship Id="rId5" Type="http://schemas.openxmlformats.org/officeDocument/2006/relationships/control" Target="../activeX/activeX14.xml"/><Relationship Id="rId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6.emf"/><Relationship Id="rId5" Type="http://schemas.openxmlformats.org/officeDocument/2006/relationships/control" Target="../activeX/activeX17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8B4C-D178-406E-ABB9-CBCF4B1D9D0F}">
  <sheetPr codeName="Feuil1"/>
  <dimension ref="A1:Y36"/>
  <sheetViews>
    <sheetView showGridLines="0" zoomScale="85" zoomScaleNormal="85" workbookViewId="0">
      <selection activeCell="K30" sqref="K30"/>
    </sheetView>
  </sheetViews>
  <sheetFormatPr baseColWidth="10" defaultColWidth="11.42578125" defaultRowHeight="15" x14ac:dyDescent="0.25"/>
  <cols>
    <col min="1" max="1" width="4.7109375" style="11" customWidth="1"/>
    <col min="2" max="2" width="14.7109375" style="16" customWidth="1"/>
    <col min="3" max="3" width="11.42578125" style="16"/>
    <col min="4" max="4" width="28.28515625" style="15" customWidth="1"/>
    <col min="5" max="6" width="14.7109375" style="16" customWidth="1"/>
    <col min="7" max="7" width="4.7109375" style="11" customWidth="1"/>
    <col min="8" max="9" width="13.28515625" style="11" customWidth="1"/>
    <col min="10" max="10" width="31.85546875" style="11" customWidth="1"/>
    <col min="11" max="11" width="9.7109375" style="11" customWidth="1"/>
    <col min="12" max="13" width="4.7109375" style="11" customWidth="1"/>
    <col min="14" max="14" width="77.85546875" style="11" bestFit="1" customWidth="1"/>
    <col min="15" max="23" width="11.42578125" style="11" customWidth="1"/>
    <col min="24" max="16384" width="11.42578125" style="11"/>
  </cols>
  <sheetData>
    <row r="1" spans="1:25" ht="26.25" customHeight="1" x14ac:dyDescent="0.25">
      <c r="A1" s="73" t="s">
        <v>54</v>
      </c>
      <c r="B1" s="168" t="s">
        <v>127</v>
      </c>
      <c r="C1" s="168"/>
      <c r="D1" s="4" t="s">
        <v>101</v>
      </c>
      <c r="F1" s="11"/>
    </row>
    <row r="2" spans="1:25" ht="23.1" customHeight="1" x14ac:dyDescent="0.25">
      <c r="B2" s="62" t="s">
        <v>121</v>
      </c>
      <c r="M2" s="62" t="s">
        <v>122</v>
      </c>
    </row>
    <row r="3" spans="1:25" ht="9.9499999999999993" customHeight="1" thickBot="1" x14ac:dyDescent="0.3">
      <c r="B3" s="12"/>
      <c r="M3" s="75"/>
    </row>
    <row r="4" spans="1:25" ht="15" customHeight="1" x14ac:dyDescent="0.25">
      <c r="B4" s="179" t="s">
        <v>46</v>
      </c>
      <c r="C4" s="175"/>
      <c r="D4" s="176"/>
      <c r="E4" s="160" t="s">
        <v>52</v>
      </c>
      <c r="F4" s="161"/>
      <c r="G4" s="85"/>
      <c r="H4" s="145"/>
      <c r="I4" s="146"/>
      <c r="J4" s="147"/>
      <c r="M4" s="84" t="s">
        <v>111</v>
      </c>
      <c r="X4" s="62" t="s">
        <v>93</v>
      </c>
    </row>
    <row r="5" spans="1:25" ht="15" customHeight="1" x14ac:dyDescent="0.25">
      <c r="B5" s="180"/>
      <c r="C5" s="177"/>
      <c r="D5" s="178"/>
      <c r="E5" s="159"/>
      <c r="F5" s="162"/>
      <c r="G5" s="85"/>
      <c r="H5" s="148"/>
      <c r="I5" s="149"/>
      <c r="J5" s="150"/>
      <c r="X5" s="62"/>
    </row>
    <row r="6" spans="1:25" ht="15" customHeight="1" x14ac:dyDescent="0.25">
      <c r="B6" s="181" t="s">
        <v>47</v>
      </c>
      <c r="C6" s="171"/>
      <c r="D6" s="172"/>
      <c r="E6" s="157" t="s">
        <v>51</v>
      </c>
      <c r="F6" s="163"/>
      <c r="G6" s="154">
        <v>1</v>
      </c>
      <c r="H6" s="148"/>
      <c r="I6" s="149"/>
      <c r="J6" s="150"/>
      <c r="L6" s="97" t="b">
        <v>0</v>
      </c>
      <c r="M6" s="76">
        <v>1</v>
      </c>
      <c r="N6" s="11" t="s">
        <v>102</v>
      </c>
      <c r="X6" s="11" t="s">
        <v>94</v>
      </c>
      <c r="Y6" s="11" t="s">
        <v>95</v>
      </c>
    </row>
    <row r="7" spans="1:25" ht="15" customHeight="1" x14ac:dyDescent="0.25">
      <c r="B7" s="180"/>
      <c r="C7" s="173"/>
      <c r="D7" s="174"/>
      <c r="E7" s="159"/>
      <c r="F7" s="164"/>
      <c r="G7" s="154"/>
      <c r="H7" s="148"/>
      <c r="I7" s="149"/>
      <c r="J7" s="150"/>
      <c r="L7" s="97" t="b">
        <v>0</v>
      </c>
      <c r="M7" s="76">
        <v>2</v>
      </c>
      <c r="N7" s="11" t="s">
        <v>103</v>
      </c>
    </row>
    <row r="8" spans="1:25" ht="15" customHeight="1" x14ac:dyDescent="0.25">
      <c r="B8" s="181" t="s">
        <v>48</v>
      </c>
      <c r="C8" s="171"/>
      <c r="D8" s="172"/>
      <c r="E8" s="157" t="s">
        <v>53</v>
      </c>
      <c r="F8" s="165"/>
      <c r="G8" s="154">
        <v>2</v>
      </c>
      <c r="H8" s="148"/>
      <c r="I8" s="149"/>
      <c r="J8" s="150"/>
      <c r="L8" s="97" t="b">
        <v>0</v>
      </c>
      <c r="M8" s="76">
        <v>3</v>
      </c>
      <c r="N8" s="11" t="s">
        <v>112</v>
      </c>
    </row>
    <row r="9" spans="1:25" ht="15" customHeight="1" x14ac:dyDescent="0.25">
      <c r="B9" s="180"/>
      <c r="C9" s="173"/>
      <c r="D9" s="174"/>
      <c r="E9" s="159"/>
      <c r="F9" s="162"/>
      <c r="G9" s="154"/>
      <c r="H9" s="148"/>
      <c r="I9" s="149"/>
      <c r="J9" s="150"/>
      <c r="L9" s="97" t="b">
        <v>0</v>
      </c>
      <c r="M9" s="76">
        <v>4</v>
      </c>
      <c r="N9" s="11" t="s">
        <v>124</v>
      </c>
    </row>
    <row r="10" spans="1:25" ht="15" customHeight="1" x14ac:dyDescent="0.25">
      <c r="B10" s="182" t="s">
        <v>49</v>
      </c>
      <c r="C10" s="169"/>
      <c r="D10" s="169"/>
      <c r="E10" s="157" t="s">
        <v>50</v>
      </c>
      <c r="F10" s="166"/>
      <c r="G10" s="154">
        <v>3</v>
      </c>
      <c r="H10" s="148"/>
      <c r="I10" s="149"/>
      <c r="J10" s="150"/>
      <c r="L10" s="97" t="b">
        <v>0</v>
      </c>
      <c r="M10" s="76">
        <v>5</v>
      </c>
      <c r="N10" s="11" t="s">
        <v>123</v>
      </c>
    </row>
    <row r="11" spans="1:25" ht="15" customHeight="1" thickBot="1" x14ac:dyDescent="0.3">
      <c r="B11" s="183"/>
      <c r="C11" s="170"/>
      <c r="D11" s="170"/>
      <c r="E11" s="158"/>
      <c r="F11" s="167"/>
      <c r="G11" s="154"/>
      <c r="H11" s="148"/>
      <c r="I11" s="149"/>
      <c r="J11" s="150"/>
      <c r="L11" s="97" t="b">
        <v>0</v>
      </c>
      <c r="M11" s="76">
        <v>6</v>
      </c>
      <c r="N11" s="11" t="s">
        <v>92</v>
      </c>
    </row>
    <row r="12" spans="1:25" ht="15" customHeight="1" x14ac:dyDescent="0.25">
      <c r="B12" s="12"/>
      <c r="G12" s="155">
        <v>4</v>
      </c>
      <c r="H12" s="148"/>
      <c r="I12" s="149"/>
      <c r="J12" s="150"/>
      <c r="L12" s="97" t="b">
        <v>0</v>
      </c>
      <c r="M12" s="76">
        <v>7</v>
      </c>
      <c r="N12" s="11" t="s">
        <v>97</v>
      </c>
    </row>
    <row r="13" spans="1:25" ht="15" customHeight="1" thickBot="1" x14ac:dyDescent="0.3">
      <c r="B13" s="62" t="s">
        <v>120</v>
      </c>
      <c r="E13" s="11"/>
      <c r="F13" s="11"/>
      <c r="G13" s="155"/>
      <c r="H13" s="151"/>
      <c r="I13" s="152"/>
      <c r="J13" s="153"/>
      <c r="M13" s="75"/>
      <c r="N13" s="74" t="s">
        <v>125</v>
      </c>
    </row>
    <row r="14" spans="1:25" ht="15" customHeight="1" x14ac:dyDescent="0.25">
      <c r="B14" s="144" t="s">
        <v>45</v>
      </c>
      <c r="C14" s="156" t="s">
        <v>100</v>
      </c>
      <c r="D14" s="144" t="s">
        <v>45</v>
      </c>
      <c r="E14" s="2" t="s">
        <v>44</v>
      </c>
      <c r="F14" s="2" t="s">
        <v>44</v>
      </c>
      <c r="G14" s="88"/>
      <c r="H14" s="3" t="s">
        <v>44</v>
      </c>
      <c r="I14" s="1" t="s">
        <v>45</v>
      </c>
      <c r="J14" s="3" t="s">
        <v>44</v>
      </c>
      <c r="L14" s="97" t="b">
        <v>0</v>
      </c>
      <c r="M14" s="75">
        <v>8</v>
      </c>
      <c r="N14" s="11" t="s">
        <v>99</v>
      </c>
    </row>
    <row r="15" spans="1:25" ht="15" customHeight="1" x14ac:dyDescent="0.25">
      <c r="B15" s="144"/>
      <c r="C15" s="156"/>
      <c r="D15" s="144"/>
      <c r="E15" s="2"/>
      <c r="F15" s="2"/>
      <c r="H15" s="2"/>
      <c r="I15" s="144"/>
      <c r="J15" s="2"/>
      <c r="M15" s="75"/>
      <c r="N15" s="74" t="s">
        <v>98</v>
      </c>
    </row>
    <row r="16" spans="1:25" ht="15" customHeight="1" x14ac:dyDescent="0.25">
      <c r="B16" s="63" t="s">
        <v>39</v>
      </c>
      <c r="C16" s="64" t="s">
        <v>36</v>
      </c>
      <c r="D16" s="68" t="s">
        <v>43</v>
      </c>
      <c r="E16" s="70" t="s">
        <v>35</v>
      </c>
      <c r="F16" s="71" t="s">
        <v>91</v>
      </c>
      <c r="G16" s="72"/>
      <c r="H16" s="65" t="s">
        <v>96</v>
      </c>
      <c r="I16" s="66" t="s">
        <v>38</v>
      </c>
      <c r="J16" s="67" t="s">
        <v>43</v>
      </c>
      <c r="K16" s="69"/>
      <c r="L16" s="97" t="b">
        <v>0</v>
      </c>
      <c r="M16" s="75">
        <v>10</v>
      </c>
      <c r="N16" s="11" t="s">
        <v>117</v>
      </c>
    </row>
    <row r="17" spans="2:24" ht="15" customHeight="1" x14ac:dyDescent="0.25">
      <c r="B17" s="60" t="b">
        <v>0</v>
      </c>
      <c r="C17" s="61" t="s">
        <v>90</v>
      </c>
      <c r="D17" s="59" t="s">
        <v>63</v>
      </c>
      <c r="E17" s="82">
        <v>9</v>
      </c>
      <c r="F17" s="100" t="s">
        <v>110</v>
      </c>
      <c r="G17" s="81"/>
      <c r="H17" s="113" t="s">
        <v>87</v>
      </c>
      <c r="I17" s="61" t="s">
        <v>87</v>
      </c>
      <c r="J17" s="114" t="str">
        <f>IFERROR(VLOOKUP(TabNames[[#This Row],[NEW]],FloorStructure[[Onglet]:[Cartouche]],2,FALSE),"")</f>
        <v>6e étage</v>
      </c>
      <c r="X17" s="61" t="s">
        <v>90</v>
      </c>
    </row>
    <row r="18" spans="2:24" ht="15" customHeight="1" x14ac:dyDescent="0.25">
      <c r="B18" s="60" t="b">
        <v>0</v>
      </c>
      <c r="C18" s="61" t="s">
        <v>89</v>
      </c>
      <c r="D18" s="59" t="s">
        <v>64</v>
      </c>
      <c r="E18" s="82">
        <v>8</v>
      </c>
      <c r="F18" s="100" t="s">
        <v>110</v>
      </c>
      <c r="G18" s="81"/>
      <c r="H18" s="113" t="s">
        <v>86</v>
      </c>
      <c r="I18" s="61" t="s">
        <v>86</v>
      </c>
      <c r="J18" s="114" t="str">
        <f>IFERROR(VLOOKUP(TabNames[[#This Row],[NEW]],FloorStructure[[Onglet]:[Cartouche]],2,FALSE),"")</f>
        <v>5e étage</v>
      </c>
      <c r="M18" s="84" t="s">
        <v>119</v>
      </c>
      <c r="X18" s="115" t="s">
        <v>89</v>
      </c>
    </row>
    <row r="19" spans="2:24" ht="15" customHeight="1" x14ac:dyDescent="0.25">
      <c r="B19" s="60" t="b">
        <v>0</v>
      </c>
      <c r="C19" s="61" t="s">
        <v>88</v>
      </c>
      <c r="D19" s="59" t="s">
        <v>65</v>
      </c>
      <c r="E19" s="82">
        <v>7</v>
      </c>
      <c r="F19" s="100" t="s">
        <v>110</v>
      </c>
      <c r="G19" s="81"/>
      <c r="H19" s="113" t="s">
        <v>85</v>
      </c>
      <c r="I19" s="61" t="s">
        <v>85</v>
      </c>
      <c r="J19" s="114" t="str">
        <f>IFERROR(VLOOKUP(TabNames[[#This Row],[NEW]],FloorStructure[[Onglet]:[Cartouche]],2,FALSE),"")</f>
        <v>4e étage</v>
      </c>
      <c r="L19" s="97" t="b">
        <v>0</v>
      </c>
      <c r="M19" s="76">
        <v>1</v>
      </c>
      <c r="N19" s="11" t="s">
        <v>114</v>
      </c>
      <c r="X19" s="61" t="s">
        <v>88</v>
      </c>
    </row>
    <row r="20" spans="2:24" ht="15" customHeight="1" x14ac:dyDescent="0.25">
      <c r="B20" s="60" t="b">
        <v>0</v>
      </c>
      <c r="C20" s="61" t="s">
        <v>87</v>
      </c>
      <c r="D20" s="77" t="s">
        <v>66</v>
      </c>
      <c r="E20" s="82">
        <v>6</v>
      </c>
      <c r="F20" s="100" t="s">
        <v>138</v>
      </c>
      <c r="G20" s="81"/>
      <c r="H20" s="113" t="s">
        <v>84</v>
      </c>
      <c r="I20" s="61" t="s">
        <v>84</v>
      </c>
      <c r="J20" s="114" t="str">
        <f>IFERROR(VLOOKUP(TabNames[[#This Row],[NEW]],FloorStructure[[Onglet]:[Cartouche]],2,FALSE),"")</f>
        <v>3e étage</v>
      </c>
      <c r="L20" s="97" t="b">
        <v>0</v>
      </c>
      <c r="M20" s="76">
        <v>2</v>
      </c>
      <c r="N20" s="11" t="s">
        <v>92</v>
      </c>
      <c r="X20" s="115" t="s">
        <v>87</v>
      </c>
    </row>
    <row r="21" spans="2:24" ht="15" customHeight="1" x14ac:dyDescent="0.25">
      <c r="B21" s="60" t="b">
        <v>0</v>
      </c>
      <c r="C21" s="61" t="s">
        <v>86</v>
      </c>
      <c r="D21" s="59" t="s">
        <v>67</v>
      </c>
      <c r="E21" s="82">
        <v>5</v>
      </c>
      <c r="F21" s="100" t="s">
        <v>139</v>
      </c>
      <c r="G21" s="81"/>
      <c r="H21" s="113" t="s">
        <v>83</v>
      </c>
      <c r="I21" s="61" t="s">
        <v>83</v>
      </c>
      <c r="J21" s="114" t="str">
        <f>IFERROR(VLOOKUP(TabNames[[#This Row],[NEW]],FloorStructure[[Onglet]:[Cartouche]],2,FALSE),"")</f>
        <v>2e étage</v>
      </c>
      <c r="L21" s="97" t="b">
        <v>0</v>
      </c>
      <c r="M21" s="76">
        <v>3</v>
      </c>
      <c r="N21" s="11" t="s">
        <v>115</v>
      </c>
      <c r="X21" s="61" t="s">
        <v>86</v>
      </c>
    </row>
    <row r="22" spans="2:24" ht="15" customHeight="1" x14ac:dyDescent="0.25">
      <c r="B22" s="60" t="b">
        <v>0</v>
      </c>
      <c r="C22" s="61" t="s">
        <v>85</v>
      </c>
      <c r="D22" s="77" t="s">
        <v>68</v>
      </c>
      <c r="E22" s="82">
        <v>4</v>
      </c>
      <c r="F22" s="100" t="s">
        <v>140</v>
      </c>
      <c r="G22" s="81"/>
      <c r="H22" s="113" t="s">
        <v>82</v>
      </c>
      <c r="I22" s="61" t="s">
        <v>82</v>
      </c>
      <c r="J22" s="114" t="str">
        <f>IFERROR(VLOOKUP(TabNames[[#This Row],[NEW]],FloorStructure[[Onglet]:[Cartouche]],2,FALSE),"")</f>
        <v>1er</v>
      </c>
      <c r="L22" s="97" t="b">
        <v>0</v>
      </c>
      <c r="M22" s="75">
        <v>4</v>
      </c>
      <c r="N22" s="11" t="s">
        <v>113</v>
      </c>
      <c r="X22" s="115" t="s">
        <v>85</v>
      </c>
    </row>
    <row r="23" spans="2:24" ht="15" customHeight="1" x14ac:dyDescent="0.25">
      <c r="B23" s="60" t="b">
        <v>0</v>
      </c>
      <c r="C23" s="61" t="s">
        <v>84</v>
      </c>
      <c r="D23" s="59" t="s">
        <v>69</v>
      </c>
      <c r="E23" s="82">
        <v>3</v>
      </c>
      <c r="F23" s="100" t="s">
        <v>141</v>
      </c>
      <c r="G23" s="81"/>
      <c r="H23" s="113" t="s">
        <v>81</v>
      </c>
      <c r="I23" s="61" t="s">
        <v>81</v>
      </c>
      <c r="J23" s="114" t="str">
        <f>IFERROR(VLOOKUP(TabNames[[#This Row],[NEW]],FloorStructure[[Onglet]:[Cartouche]],2,FALSE),"")</f>
        <v>Rez</v>
      </c>
      <c r="M23" s="96" t="s">
        <v>116</v>
      </c>
      <c r="N23" s="57" t="s">
        <v>118</v>
      </c>
      <c r="X23" s="61" t="s">
        <v>84</v>
      </c>
    </row>
    <row r="24" spans="2:24" ht="15" customHeight="1" x14ac:dyDescent="0.25">
      <c r="B24" s="60" t="b">
        <v>0</v>
      </c>
      <c r="C24" s="61" t="s">
        <v>83</v>
      </c>
      <c r="D24" s="77" t="s">
        <v>70</v>
      </c>
      <c r="E24" s="82">
        <v>2</v>
      </c>
      <c r="F24" s="100" t="s">
        <v>142</v>
      </c>
      <c r="G24" s="81"/>
      <c r="H24" s="113" t="s">
        <v>80</v>
      </c>
      <c r="I24" s="61" t="s">
        <v>80</v>
      </c>
      <c r="J24" s="114" t="str">
        <f>IFERROR(VLOOKUP(TabNames[[#This Row],[NEW]],FloorStructure[[Onglet]:[Cartouche]],2,FALSE),"")</f>
        <v>1er sous-sol</v>
      </c>
      <c r="X24" s="115" t="s">
        <v>83</v>
      </c>
    </row>
    <row r="25" spans="2:24" ht="15" customHeight="1" x14ac:dyDescent="0.25">
      <c r="B25" s="60" t="b">
        <v>0</v>
      </c>
      <c r="C25" s="61" t="s">
        <v>82</v>
      </c>
      <c r="D25" s="59" t="s">
        <v>133</v>
      </c>
      <c r="E25" s="82">
        <v>1</v>
      </c>
      <c r="F25" s="100" t="s">
        <v>143</v>
      </c>
      <c r="G25" s="81"/>
      <c r="H25" s="113" t="s">
        <v>79</v>
      </c>
      <c r="I25" s="61" t="s">
        <v>79</v>
      </c>
      <c r="J25" s="114" t="str">
        <f>IFERROR(VLOOKUP(TabNames[[#This Row],[NEW]],FloorStructure[[Onglet]:[Cartouche]],2,FALSE),"")</f>
        <v>2e sous-sol</v>
      </c>
      <c r="X25" s="61" t="s">
        <v>82</v>
      </c>
    </row>
    <row r="26" spans="2:24" ht="15" customHeight="1" x14ac:dyDescent="0.25">
      <c r="B26" s="78" t="b">
        <v>0</v>
      </c>
      <c r="C26" s="79" t="s">
        <v>81</v>
      </c>
      <c r="D26" s="80" t="s">
        <v>42</v>
      </c>
      <c r="E26" s="83">
        <v>0</v>
      </c>
      <c r="F26" s="101" t="s">
        <v>144</v>
      </c>
      <c r="G26" s="81"/>
      <c r="L26" s="99" t="s">
        <v>44</v>
      </c>
      <c r="M26" s="11" t="s">
        <v>128</v>
      </c>
      <c r="X26" s="115" t="s">
        <v>81</v>
      </c>
    </row>
    <row r="27" spans="2:24" ht="15" customHeight="1" x14ac:dyDescent="0.25">
      <c r="B27" s="60" t="b">
        <v>0</v>
      </c>
      <c r="C27" s="61" t="s">
        <v>80</v>
      </c>
      <c r="D27" s="59" t="s">
        <v>40</v>
      </c>
      <c r="E27" s="82">
        <v>-1</v>
      </c>
      <c r="F27" s="102" t="s">
        <v>145</v>
      </c>
      <c r="G27" s="81"/>
      <c r="L27" s="56" t="s">
        <v>45</v>
      </c>
      <c r="M27" s="11" t="s">
        <v>129</v>
      </c>
      <c r="X27" s="61" t="s">
        <v>80</v>
      </c>
    </row>
    <row r="28" spans="2:24" ht="15" customHeight="1" x14ac:dyDescent="0.25">
      <c r="B28" s="60" t="b">
        <v>0</v>
      </c>
      <c r="C28" s="61" t="s">
        <v>79</v>
      </c>
      <c r="D28" s="59" t="s">
        <v>55</v>
      </c>
      <c r="E28" s="82">
        <v>-2</v>
      </c>
      <c r="F28" s="100" t="s">
        <v>146</v>
      </c>
      <c r="G28" s="81"/>
      <c r="L28" s="56"/>
      <c r="X28" s="115" t="s">
        <v>79</v>
      </c>
    </row>
    <row r="29" spans="2:24" ht="15" customHeight="1" x14ac:dyDescent="0.25">
      <c r="B29" s="60" t="b">
        <v>0</v>
      </c>
      <c r="C29" s="61" t="s">
        <v>78</v>
      </c>
      <c r="D29" s="59" t="s">
        <v>56</v>
      </c>
      <c r="E29" s="82">
        <v>-3</v>
      </c>
      <c r="F29" s="100" t="s">
        <v>110</v>
      </c>
      <c r="G29" s="81"/>
      <c r="X29" s="61" t="s">
        <v>78</v>
      </c>
    </row>
    <row r="30" spans="2:24" ht="15" customHeight="1" x14ac:dyDescent="0.25">
      <c r="B30" s="60" t="b">
        <v>0</v>
      </c>
      <c r="C30" s="61" t="s">
        <v>77</v>
      </c>
      <c r="D30" s="59" t="s">
        <v>57</v>
      </c>
      <c r="E30" s="82">
        <v>-4</v>
      </c>
      <c r="F30" s="100" t="s">
        <v>110</v>
      </c>
      <c r="G30" s="81"/>
      <c r="X30" s="115" t="s">
        <v>77</v>
      </c>
    </row>
    <row r="31" spans="2:24" ht="15" customHeight="1" x14ac:dyDescent="0.25">
      <c r="B31" s="60" t="b">
        <v>0</v>
      </c>
      <c r="C31" s="61" t="s">
        <v>76</v>
      </c>
      <c r="D31" s="59" t="s">
        <v>58</v>
      </c>
      <c r="E31" s="82">
        <v>-5</v>
      </c>
      <c r="F31" s="100" t="s">
        <v>110</v>
      </c>
      <c r="G31" s="81"/>
      <c r="X31" s="61" t="s">
        <v>76</v>
      </c>
    </row>
    <row r="32" spans="2:24" ht="15" customHeight="1" x14ac:dyDescent="0.25">
      <c r="B32" s="60" t="b">
        <v>0</v>
      </c>
      <c r="C32" s="61" t="s">
        <v>75</v>
      </c>
      <c r="D32" s="59" t="s">
        <v>59</v>
      </c>
      <c r="E32" s="82">
        <v>-6</v>
      </c>
      <c r="F32" s="100" t="s">
        <v>110</v>
      </c>
      <c r="G32" s="81"/>
      <c r="X32" s="115" t="s">
        <v>75</v>
      </c>
    </row>
    <row r="33" spans="2:24" ht="15" customHeight="1" x14ac:dyDescent="0.25">
      <c r="B33" s="60" t="b">
        <v>0</v>
      </c>
      <c r="C33" s="61" t="s">
        <v>74</v>
      </c>
      <c r="D33" s="59" t="s">
        <v>60</v>
      </c>
      <c r="E33" s="82">
        <v>-7</v>
      </c>
      <c r="F33" s="100" t="s">
        <v>110</v>
      </c>
      <c r="G33" s="81"/>
      <c r="X33" s="61" t="s">
        <v>74</v>
      </c>
    </row>
    <row r="34" spans="2:24" ht="15" customHeight="1" x14ac:dyDescent="0.25">
      <c r="B34" s="60" t="b">
        <v>0</v>
      </c>
      <c r="C34" s="61" t="s">
        <v>73</v>
      </c>
      <c r="D34" s="59" t="s">
        <v>61</v>
      </c>
      <c r="E34" s="82">
        <v>-8</v>
      </c>
      <c r="F34" s="100" t="s">
        <v>110</v>
      </c>
      <c r="G34" s="81"/>
      <c r="X34" s="115" t="s">
        <v>73</v>
      </c>
    </row>
    <row r="35" spans="2:24" ht="15" customHeight="1" x14ac:dyDescent="0.25">
      <c r="B35" s="60" t="b">
        <v>0</v>
      </c>
      <c r="C35" s="61" t="s">
        <v>72</v>
      </c>
      <c r="D35" s="59" t="s">
        <v>62</v>
      </c>
      <c r="E35" s="82">
        <v>-9</v>
      </c>
      <c r="F35" s="100" t="s">
        <v>110</v>
      </c>
      <c r="G35" s="81"/>
      <c r="X35" s="61" t="s">
        <v>72</v>
      </c>
    </row>
    <row r="36" spans="2:24" ht="15" customHeight="1" x14ac:dyDescent="0.25">
      <c r="D36" s="14"/>
      <c r="G36" s="81"/>
      <c r="M36" s="75"/>
      <c r="N36" s="74"/>
      <c r="X36" s="115" t="s">
        <v>71</v>
      </c>
    </row>
  </sheetData>
  <mergeCells count="30">
    <mergeCell ref="B1:C1"/>
    <mergeCell ref="C10:D11"/>
    <mergeCell ref="C8:D9"/>
    <mergeCell ref="C6:D7"/>
    <mergeCell ref="C4:D5"/>
    <mergeCell ref="B4:B5"/>
    <mergeCell ref="B6:B7"/>
    <mergeCell ref="B8:B9"/>
    <mergeCell ref="B10:B11"/>
    <mergeCell ref="E10:E11"/>
    <mergeCell ref="E8:E9"/>
    <mergeCell ref="E6:E7"/>
    <mergeCell ref="E4:E5"/>
    <mergeCell ref="F4:F5"/>
    <mergeCell ref="F6:F7"/>
    <mergeCell ref="F8:F9"/>
    <mergeCell ref="F10:F11"/>
    <mergeCell ref="B14:B15"/>
    <mergeCell ref="C14:C15"/>
    <mergeCell ref="D14:D15"/>
    <mergeCell ref="E14:E15"/>
    <mergeCell ref="F14:F15"/>
    <mergeCell ref="H14:H15"/>
    <mergeCell ref="I14:I15"/>
    <mergeCell ref="J14:J15"/>
    <mergeCell ref="H4:J13"/>
    <mergeCell ref="G6:G7"/>
    <mergeCell ref="G8:G9"/>
    <mergeCell ref="G10:G11"/>
    <mergeCell ref="G12:G13"/>
  </mergeCells>
  <phoneticPr fontId="7" type="noConversion"/>
  <conditionalFormatting sqref="C17:C35">
    <cfRule type="expression" dxfId="36" priority="6">
      <formula>AND($B17=TRUE,COUNTIF(rngTABold,C17)&gt;0)</formula>
    </cfRule>
    <cfRule type="expression" dxfId="35" priority="695">
      <formula>AND($B17=TRUE,COUNTIF(rngTABold,C17)=0)</formula>
    </cfRule>
  </conditionalFormatting>
  <conditionalFormatting sqref="N15">
    <cfRule type="duplicateValues" dxfId="34" priority="3"/>
  </conditionalFormatting>
  <conditionalFormatting sqref="M14:N14 K17:L18 O17:W23 K23:L23 K19:K22">
    <cfRule type="duplicateValues" dxfId="33" priority="5530"/>
  </conditionalFormatting>
  <conditionalFormatting sqref="H17:H25">
    <cfRule type="expression" dxfId="32" priority="10607">
      <formula>COUNTIF($H$17:$H$25,I17)=0</formula>
    </cfRule>
  </conditionalFormatting>
  <conditionalFormatting sqref="I17:I25">
    <cfRule type="expression" dxfId="31" priority="10608">
      <formula>COUNTIF($C$17:$C$35,I17)=0</formula>
    </cfRule>
    <cfRule type="expression" dxfId="30" priority="10609">
      <formula>COUNTIF($C$17:$C$35,I17)&gt;0</formula>
    </cfRule>
    <cfRule type="duplicateValues" dxfId="29" priority="10610"/>
  </conditionalFormatting>
  <dataValidations count="3">
    <dataValidation type="list" allowBlank="1" sqref="C17:C35" xr:uid="{46A33BB0-C35D-48D5-B502-7883BE1A8073}">
      <formula1>FloorNameOrg</formula1>
    </dataValidation>
    <dataValidation type="list" allowBlank="1" showInputMessage="1" showErrorMessage="1" sqref="X17:X36" xr:uid="{8BAE7A5B-B669-4469-B60E-DFDAA8F92A03}">
      <formula1>$X$17:$X$36</formula1>
    </dataValidation>
    <dataValidation type="list" allowBlank="1" showInputMessage="1" showErrorMessage="1" error="L'étage saisi doit provenir de la colonne &quot;Onglet&quot; de la structure du projet" sqref="I17:I25" xr:uid="{17DA78D9-0C37-4308-B753-4EDA31A8EBB7}">
      <formula1>FloorNameProject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mdReadTab">
          <controlPr defaultSize="0" autoLine="0" r:id="rId4">
            <anchor moveWithCells="1">
              <from>
                <xdr:col>7</xdr:col>
                <xdr:colOff>57150</xdr:colOff>
                <xdr:row>7</xdr:row>
                <xdr:rowOff>38100</xdr:rowOff>
              </from>
              <to>
                <xdr:col>7</xdr:col>
                <xdr:colOff>847725</xdr:colOff>
                <xdr:row>8</xdr:row>
                <xdr:rowOff>161925</xdr:rowOff>
              </to>
            </anchor>
          </controlPr>
        </control>
      </mc:Choice>
      <mc:Fallback>
        <control shapeId="4105" r:id="rId3" name="cmdReadTab"/>
      </mc:Fallback>
    </mc:AlternateContent>
    <mc:AlternateContent xmlns:mc="http://schemas.openxmlformats.org/markup-compatibility/2006">
      <mc:Choice Requires="x14">
        <control shapeId="4104" r:id="rId5" name="cmdUpdateTab">
          <controlPr defaultSize="0" autoLine="0" r:id="rId6">
            <anchor moveWithCells="1">
              <from>
                <xdr:col>7</xdr:col>
                <xdr:colOff>57150</xdr:colOff>
                <xdr:row>11</xdr:row>
                <xdr:rowOff>38100</xdr:rowOff>
              </from>
              <to>
                <xdr:col>7</xdr:col>
                <xdr:colOff>847725</xdr:colOff>
                <xdr:row>12</xdr:row>
                <xdr:rowOff>161925</xdr:rowOff>
              </to>
            </anchor>
          </controlPr>
        </control>
      </mc:Choice>
      <mc:Fallback>
        <control shapeId="4104" r:id="rId5" name="cmdUpdateTab"/>
      </mc:Fallback>
    </mc:AlternateContent>
    <mc:AlternateContent xmlns:mc="http://schemas.openxmlformats.org/markup-compatibility/2006">
      <mc:Choice Requires="x14">
        <control shapeId="4103" r:id="rId7" name="cmdZoomWindows">
          <controlPr defaultSize="0" autoLine="0" r:id="rId8">
            <anchor moveWithCells="1">
              <from>
                <xdr:col>9</xdr:col>
                <xdr:colOff>85725</xdr:colOff>
                <xdr:row>11</xdr:row>
                <xdr:rowOff>38100</xdr:rowOff>
              </from>
              <to>
                <xdr:col>9</xdr:col>
                <xdr:colOff>876300</xdr:colOff>
                <xdr:row>12</xdr:row>
                <xdr:rowOff>161925</xdr:rowOff>
              </to>
            </anchor>
          </controlPr>
        </control>
      </mc:Choice>
      <mc:Fallback>
        <control shapeId="4103" r:id="rId7" name="cmdZoomWindows"/>
      </mc:Fallback>
    </mc:AlternateContent>
    <mc:AlternateContent xmlns:mc="http://schemas.openxmlformats.org/markup-compatibility/2006">
      <mc:Choice Requires="x14">
        <control shapeId="4102" r:id="rId9" name="cmdRefreshText">
          <controlPr defaultSize="0" autoLine="0" r:id="rId10">
            <anchor moveWithCells="1">
              <from>
                <xdr:col>9</xdr:col>
                <xdr:colOff>85725</xdr:colOff>
                <xdr:row>3</xdr:row>
                <xdr:rowOff>28575</xdr:rowOff>
              </from>
              <to>
                <xdr:col>9</xdr:col>
                <xdr:colOff>904875</xdr:colOff>
                <xdr:row>4</xdr:row>
                <xdr:rowOff>152400</xdr:rowOff>
              </to>
            </anchor>
          </controlPr>
        </control>
      </mc:Choice>
      <mc:Fallback>
        <control shapeId="4102" r:id="rId9" name="cmdRefreshText"/>
      </mc:Fallback>
    </mc:AlternateContent>
    <mc:AlternateContent xmlns:mc="http://schemas.openxmlformats.org/markup-compatibility/2006">
      <mc:Choice Requires="x14">
        <control shapeId="4098" r:id="rId11" name="cmdInsertFrame">
          <controlPr defaultSize="0" autoLine="0" r:id="rId12">
            <anchor moveWithCells="1">
              <from>
                <xdr:col>7</xdr:col>
                <xdr:colOff>57150</xdr:colOff>
                <xdr:row>3</xdr:row>
                <xdr:rowOff>28575</xdr:rowOff>
              </from>
              <to>
                <xdr:col>7</xdr:col>
                <xdr:colOff>857250</xdr:colOff>
                <xdr:row>4</xdr:row>
                <xdr:rowOff>152400</xdr:rowOff>
              </to>
            </anchor>
          </controlPr>
        </control>
      </mc:Choice>
      <mc:Fallback>
        <control shapeId="4098" r:id="rId11" name="cmdInsertFrame"/>
      </mc:Fallback>
    </mc:AlternateContent>
    <mc:AlternateContent xmlns:mc="http://schemas.openxmlformats.org/markup-compatibility/2006">
      <mc:Choice Requires="x14">
        <control shapeId="4099" r:id="rId13" name="cmdRedimMinus">
          <controlPr defaultSize="0" autoLine="0" r:id="rId14">
            <anchor moveWithCells="1">
              <from>
                <xdr:col>8</xdr:col>
                <xdr:colOff>476250</xdr:colOff>
                <xdr:row>3</xdr:row>
                <xdr:rowOff>28575</xdr:rowOff>
              </from>
              <to>
                <xdr:col>8</xdr:col>
                <xdr:colOff>781050</xdr:colOff>
                <xdr:row>4</xdr:row>
                <xdr:rowOff>152400</xdr:rowOff>
              </to>
            </anchor>
          </controlPr>
        </control>
      </mc:Choice>
      <mc:Fallback>
        <control shapeId="4099" r:id="rId13" name="cmdRedimMinus"/>
      </mc:Fallback>
    </mc:AlternateContent>
    <mc:AlternateContent xmlns:mc="http://schemas.openxmlformats.org/markup-compatibility/2006">
      <mc:Choice Requires="x14">
        <control shapeId="4100" r:id="rId15" name="cmdRedimPlus">
          <controlPr defaultSize="0" autoLine="0" r:id="rId16">
            <anchor moveWithCells="1">
              <from>
                <xdr:col>8</xdr:col>
                <xdr:colOff>95250</xdr:colOff>
                <xdr:row>3</xdr:row>
                <xdr:rowOff>28575</xdr:rowOff>
              </from>
              <to>
                <xdr:col>8</xdr:col>
                <xdr:colOff>400050</xdr:colOff>
                <xdr:row>4</xdr:row>
                <xdr:rowOff>152400</xdr:rowOff>
              </to>
            </anchor>
          </controlPr>
        </control>
      </mc:Choice>
      <mc:Fallback>
        <control shapeId="4100" r:id="rId15" name="cmdRedimPlus"/>
      </mc:Fallback>
    </mc:AlternateContent>
    <mc:AlternateContent xmlns:mc="http://schemas.openxmlformats.org/markup-compatibility/2006">
      <mc:Choice Requires="x14">
        <control shapeId="4101" r:id="rId17" name="cmdReadFrame">
          <controlPr defaultSize="0" autoLine="0" r:id="rId18">
            <anchor moveWithCells="1">
              <from>
                <xdr:col>7</xdr:col>
                <xdr:colOff>57150</xdr:colOff>
                <xdr:row>5</xdr:row>
                <xdr:rowOff>28575</xdr:rowOff>
              </from>
              <to>
                <xdr:col>7</xdr:col>
                <xdr:colOff>857250</xdr:colOff>
                <xdr:row>6</xdr:row>
                <xdr:rowOff>142875</xdr:rowOff>
              </to>
            </anchor>
          </controlPr>
        </control>
      </mc:Choice>
      <mc:Fallback>
        <control shapeId="4101" r:id="rId17" name="cmdReadFrame"/>
      </mc:Fallback>
    </mc:AlternateContent>
    <mc:AlternateContent xmlns:mc="http://schemas.openxmlformats.org/markup-compatibility/2006">
      <mc:Choice Requires="x14">
        <control shapeId="4110" r:id="rId19" name="cmdUpdateLevel">
          <controlPr defaultSize="0" autoLine="0" r:id="rId20">
            <anchor moveWithCells="1">
              <from>
                <xdr:col>2</xdr:col>
                <xdr:colOff>504825</xdr:colOff>
                <xdr:row>13</xdr:row>
                <xdr:rowOff>57150</xdr:rowOff>
              </from>
              <to>
                <xdr:col>3</xdr:col>
                <xdr:colOff>0</xdr:colOff>
                <xdr:row>14</xdr:row>
                <xdr:rowOff>123825</xdr:rowOff>
              </to>
            </anchor>
          </controlPr>
        </control>
      </mc:Choice>
      <mc:Fallback>
        <control shapeId="4110" r:id="rId19" name="cmdUpdateLevel"/>
      </mc:Fallback>
    </mc:AlternateContent>
    <mc:AlternateContent xmlns:mc="http://schemas.openxmlformats.org/markup-compatibility/2006">
      <mc:Choice Requires="x14">
        <control shapeId="4111" r:id="rId21" name="cmdReadTitleBlock">
          <controlPr defaultSize="0" autoLine="0" r:id="rId22">
            <anchor moveWithCells="1">
              <from>
                <xdr:col>7</xdr:col>
                <xdr:colOff>57150</xdr:colOff>
                <xdr:row>9</xdr:row>
                <xdr:rowOff>38100</xdr:rowOff>
              </from>
              <to>
                <xdr:col>7</xdr:col>
                <xdr:colOff>847725</xdr:colOff>
                <xdr:row>10</xdr:row>
                <xdr:rowOff>161925</xdr:rowOff>
              </to>
            </anchor>
          </controlPr>
        </control>
      </mc:Choice>
      <mc:Fallback>
        <control shapeId="4111" r:id="rId21" name="cmdReadTitleBlock"/>
      </mc:Fallback>
    </mc:AlternateContent>
    <mc:AlternateContent xmlns:mc="http://schemas.openxmlformats.org/markup-compatibility/2006">
      <mc:Choice Requires="x14">
        <control shapeId="4116" r:id="rId23" name="cmdReadAll">
          <controlPr defaultSize="0" autoLine="0" r:id="rId24">
            <anchor moveWithCells="1">
              <from>
                <xdr:col>9</xdr:col>
                <xdr:colOff>1276350</xdr:colOff>
                <xdr:row>3</xdr:row>
                <xdr:rowOff>28575</xdr:rowOff>
              </from>
              <to>
                <xdr:col>9</xdr:col>
                <xdr:colOff>2076450</xdr:colOff>
                <xdr:row>4</xdr:row>
                <xdr:rowOff>142875</xdr:rowOff>
              </to>
            </anchor>
          </controlPr>
        </control>
      </mc:Choice>
      <mc:Fallback>
        <control shapeId="4116" r:id="rId23" name="cmdReadAll"/>
      </mc:Fallback>
    </mc:AlternateContent>
    <mc:AlternateContent xmlns:mc="http://schemas.openxmlformats.org/markup-compatibility/2006">
      <mc:Choice Requires="x14">
        <control shapeId="4121" r:id="rId25" name="cmdResetCheckList">
          <controlPr defaultSize="0" autoLine="0" r:id="rId20">
            <anchor moveWithCells="1">
              <from>
                <xdr:col>11</xdr:col>
                <xdr:colOff>19050</xdr:colOff>
                <xdr:row>1</xdr:row>
                <xdr:rowOff>76200</xdr:rowOff>
              </from>
              <to>
                <xdr:col>11</xdr:col>
                <xdr:colOff>276225</xdr:colOff>
                <xdr:row>2</xdr:row>
                <xdr:rowOff>47625</xdr:rowOff>
              </to>
            </anchor>
          </controlPr>
        </control>
      </mc:Choice>
      <mc:Fallback>
        <control shapeId="4121" r:id="rId25" name="cmdResetCheckList"/>
      </mc:Fallback>
    </mc:AlternateContent>
  </controls>
  <tableParts count="2">
    <tablePart r:id="rId26"/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A1A3-740D-4E62-9639-64ED6CDA623F}">
  <sheetPr codeName="Feuil2" filterMode="1"/>
  <dimension ref="A1:O1446"/>
  <sheetViews>
    <sheetView tabSelected="1" zoomScale="85" zoomScaleNormal="85" workbookViewId="0">
      <pane ySplit="2" topLeftCell="A191" activePane="bottomLeft" state="frozen"/>
      <selection pane="bottomLeft" activeCell="B1460" sqref="B1460"/>
    </sheetView>
  </sheetViews>
  <sheetFormatPr baseColWidth="10" defaultColWidth="11.42578125" defaultRowHeight="15" x14ac:dyDescent="0.25"/>
  <cols>
    <col min="1" max="1" width="47.42578125" style="11" bestFit="1" customWidth="1"/>
    <col min="2" max="2" width="35.140625" style="11" customWidth="1"/>
    <col min="3" max="3" width="27.140625" style="12" bestFit="1" customWidth="1"/>
    <col min="4" max="4" width="42.7109375" style="12" customWidth="1"/>
    <col min="5" max="5" width="12.7109375" style="13" customWidth="1"/>
    <col min="6" max="6" width="12" style="111" customWidth="1"/>
    <col min="7" max="7" width="16.85546875" style="13" customWidth="1"/>
    <col min="8" max="8" width="15.85546875" style="14" customWidth="1"/>
    <col min="9" max="9" width="11.42578125" style="14" customWidth="1"/>
    <col min="10" max="10" width="42" style="12" customWidth="1"/>
    <col min="11" max="11" width="35.140625" style="15" bestFit="1" customWidth="1"/>
    <col min="12" max="13" width="11.42578125" style="16"/>
    <col min="14" max="14" width="11.42578125" style="58"/>
    <col min="15" max="15" width="64.42578125" style="11" bestFit="1" customWidth="1"/>
    <col min="16" max="16384" width="11.42578125" style="11"/>
  </cols>
  <sheetData>
    <row r="1" spans="1:15" ht="31.5" customHeight="1" x14ac:dyDescent="0.3">
      <c r="A1" s="87" t="s">
        <v>126</v>
      </c>
      <c r="B1" s="98"/>
      <c r="C1" s="86"/>
      <c r="D1" s="4" t="s">
        <v>101</v>
      </c>
      <c r="F1" s="109"/>
      <c r="O1" s="103" t="s">
        <v>137</v>
      </c>
    </row>
    <row r="2" spans="1:15" s="10" customFormat="1" ht="18.75" hidden="1" customHeight="1" x14ac:dyDescent="0.25">
      <c r="A2" s="89" t="s">
        <v>7</v>
      </c>
      <c r="B2" s="89" t="s">
        <v>8</v>
      </c>
      <c r="C2" s="90" t="s">
        <v>9</v>
      </c>
      <c r="D2" s="90" t="s">
        <v>10</v>
      </c>
      <c r="E2" s="91" t="s">
        <v>37</v>
      </c>
      <c r="F2" s="110" t="s">
        <v>11</v>
      </c>
      <c r="G2" s="91" t="s">
        <v>14</v>
      </c>
      <c r="H2" s="92" t="s">
        <v>15</v>
      </c>
      <c r="I2" s="92" t="s">
        <v>16</v>
      </c>
      <c r="J2" s="90" t="s">
        <v>17</v>
      </c>
      <c r="K2" s="93" t="s">
        <v>34</v>
      </c>
      <c r="L2" s="94" t="s">
        <v>29</v>
      </c>
      <c r="M2" s="94" t="s">
        <v>33</v>
      </c>
      <c r="N2" s="95" t="s">
        <v>35</v>
      </c>
      <c r="O2" s="95" t="s">
        <v>130</v>
      </c>
    </row>
    <row r="3" spans="1:15" hidden="1" x14ac:dyDescent="0.25">
      <c r="A3" s="11" t="s">
        <v>134</v>
      </c>
      <c r="B3" s="11" t="s">
        <v>134</v>
      </c>
      <c r="C3" s="12" t="s">
        <v>134</v>
      </c>
      <c r="D3" s="12" t="s">
        <v>2</v>
      </c>
      <c r="E3" s="13" t="s">
        <v>2</v>
      </c>
      <c r="F3" s="111" t="s">
        <v>2</v>
      </c>
      <c r="G3" s="13" t="s">
        <v>2</v>
      </c>
      <c r="H3" s="14" t="s">
        <v>2</v>
      </c>
      <c r="I3" s="14" t="s">
        <v>21</v>
      </c>
      <c r="J3" s="12" t="s">
        <v>21</v>
      </c>
      <c r="K3" s="15" t="s">
        <v>21</v>
      </c>
      <c r="L3" s="16" t="s">
        <v>21</v>
      </c>
      <c r="M3" s="16" t="s">
        <v>1</v>
      </c>
      <c r="N3" s="58" t="s">
        <v>21</v>
      </c>
      <c r="O3" s="11" t="s">
        <v>21</v>
      </c>
    </row>
    <row r="4" spans="1:15" hidden="1" x14ac:dyDescent="0.25">
      <c r="A4" s="11" t="s">
        <v>134</v>
      </c>
      <c r="B4" s="11" t="s">
        <v>134</v>
      </c>
      <c r="C4" s="12" t="s">
        <v>134</v>
      </c>
      <c r="D4" s="12" t="s">
        <v>2</v>
      </c>
      <c r="E4" s="13" t="s">
        <v>2</v>
      </c>
      <c r="F4" s="111" t="s">
        <v>2</v>
      </c>
      <c r="G4" s="13" t="s">
        <v>2</v>
      </c>
      <c r="H4" s="14" t="s">
        <v>2</v>
      </c>
      <c r="I4" s="14" t="s">
        <v>21</v>
      </c>
      <c r="J4" s="12" t="s">
        <v>21</v>
      </c>
      <c r="K4" s="15" t="s">
        <v>21</v>
      </c>
      <c r="L4" s="16" t="s">
        <v>21</v>
      </c>
      <c r="M4" s="16" t="s">
        <v>1</v>
      </c>
      <c r="N4" s="58" t="s">
        <v>21</v>
      </c>
      <c r="O4" s="11" t="s">
        <v>21</v>
      </c>
    </row>
    <row r="5" spans="1:15" hidden="1" x14ac:dyDescent="0.25">
      <c r="A5" s="11" t="s">
        <v>134</v>
      </c>
      <c r="D5" s="12" t="s">
        <v>168</v>
      </c>
      <c r="G5" s="13" t="s">
        <v>232</v>
      </c>
      <c r="H5" s="14" t="s">
        <v>168</v>
      </c>
      <c r="I5" s="14" t="s">
        <v>233</v>
      </c>
      <c r="K5" s="15" t="s">
        <v>234</v>
      </c>
      <c r="O5" s="11" t="s">
        <v>172</v>
      </c>
    </row>
    <row r="6" spans="1:15" hidden="1" x14ac:dyDescent="0.25">
      <c r="A6" s="11" t="s">
        <v>134</v>
      </c>
      <c r="D6" s="12" t="s">
        <v>173</v>
      </c>
      <c r="G6" s="13" t="s">
        <v>174</v>
      </c>
      <c r="H6" s="14" t="s">
        <v>175</v>
      </c>
      <c r="I6" s="14" t="s">
        <v>176</v>
      </c>
      <c r="K6" s="15" t="s">
        <v>177</v>
      </c>
      <c r="O6" s="11" t="s">
        <v>172</v>
      </c>
    </row>
    <row r="7" spans="1:15" hidden="1" x14ac:dyDescent="0.25">
      <c r="A7" s="11" t="s">
        <v>134</v>
      </c>
      <c r="D7" s="12" t="s">
        <v>173</v>
      </c>
      <c r="G7" s="13" t="s">
        <v>178</v>
      </c>
      <c r="H7" s="14" t="s">
        <v>175</v>
      </c>
      <c r="I7" s="14" t="s">
        <v>179</v>
      </c>
      <c r="K7" s="15" t="s">
        <v>180</v>
      </c>
      <c r="O7" s="11" t="s">
        <v>172</v>
      </c>
    </row>
    <row r="8" spans="1:15" hidden="1" x14ac:dyDescent="0.25">
      <c r="A8" s="11" t="s">
        <v>134</v>
      </c>
      <c r="D8" s="12" t="s">
        <v>173</v>
      </c>
      <c r="G8" s="13" t="s">
        <v>181</v>
      </c>
      <c r="H8" s="14" t="s">
        <v>175</v>
      </c>
      <c r="I8" s="14" t="s">
        <v>182</v>
      </c>
      <c r="K8" s="15" t="s">
        <v>183</v>
      </c>
      <c r="O8" s="11" t="s">
        <v>172</v>
      </c>
    </row>
    <row r="9" spans="1:15" hidden="1" x14ac:dyDescent="0.25">
      <c r="A9" s="11" t="s">
        <v>134</v>
      </c>
      <c r="D9" s="12" t="s">
        <v>173</v>
      </c>
      <c r="G9" s="13" t="s">
        <v>184</v>
      </c>
      <c r="H9" s="14" t="s">
        <v>175</v>
      </c>
      <c r="I9" s="14" t="s">
        <v>185</v>
      </c>
      <c r="K9" s="15" t="s">
        <v>186</v>
      </c>
      <c r="O9" s="11" t="s">
        <v>172</v>
      </c>
    </row>
    <row r="10" spans="1:15" hidden="1" x14ac:dyDescent="0.25">
      <c r="A10" s="11" t="s">
        <v>134</v>
      </c>
      <c r="D10" s="12" t="s">
        <v>173</v>
      </c>
      <c r="G10" s="13" t="s">
        <v>187</v>
      </c>
      <c r="H10" s="14" t="s">
        <v>175</v>
      </c>
      <c r="I10" s="14" t="s">
        <v>188</v>
      </c>
      <c r="K10" s="15" t="s">
        <v>189</v>
      </c>
      <c r="O10" s="11" t="s">
        <v>172</v>
      </c>
    </row>
    <row r="11" spans="1:15" hidden="1" x14ac:dyDescent="0.25">
      <c r="A11" s="11" t="s">
        <v>134</v>
      </c>
      <c r="D11" s="12" t="s">
        <v>168</v>
      </c>
      <c r="G11" s="13" t="s">
        <v>232</v>
      </c>
      <c r="H11" s="14" t="s">
        <v>168</v>
      </c>
      <c r="I11" s="14" t="s">
        <v>233</v>
      </c>
      <c r="K11" s="15" t="s">
        <v>234</v>
      </c>
      <c r="O11" s="11" t="s">
        <v>172</v>
      </c>
    </row>
    <row r="12" spans="1:15" hidden="1" x14ac:dyDescent="0.25">
      <c r="A12" s="11" t="s">
        <v>134</v>
      </c>
      <c r="D12" s="12" t="s">
        <v>168</v>
      </c>
      <c r="G12" s="13" t="s">
        <v>232</v>
      </c>
      <c r="H12" s="14" t="s">
        <v>168</v>
      </c>
      <c r="I12" s="14" t="s">
        <v>233</v>
      </c>
      <c r="K12" s="15" t="s">
        <v>234</v>
      </c>
      <c r="O12" s="11" t="s">
        <v>172</v>
      </c>
    </row>
    <row r="13" spans="1:15" hidden="1" x14ac:dyDescent="0.25">
      <c r="A13" s="11" t="s">
        <v>134</v>
      </c>
      <c r="D13" s="12" t="s">
        <v>173</v>
      </c>
      <c r="G13" s="13" t="s">
        <v>196</v>
      </c>
      <c r="H13" s="14" t="s">
        <v>175</v>
      </c>
      <c r="I13" s="14" t="s">
        <v>197</v>
      </c>
      <c r="K13" s="15" t="s">
        <v>198</v>
      </c>
      <c r="O13" s="11" t="s">
        <v>172</v>
      </c>
    </row>
    <row r="14" spans="1:15" hidden="1" x14ac:dyDescent="0.25">
      <c r="A14" s="11" t="s">
        <v>134</v>
      </c>
      <c r="D14" s="12" t="s">
        <v>173</v>
      </c>
      <c r="G14" s="13" t="s">
        <v>199</v>
      </c>
      <c r="H14" s="14" t="s">
        <v>175</v>
      </c>
      <c r="I14" s="14" t="s">
        <v>200</v>
      </c>
      <c r="K14" s="15" t="s">
        <v>201</v>
      </c>
      <c r="O14" s="11" t="s">
        <v>172</v>
      </c>
    </row>
    <row r="15" spans="1:15" hidden="1" x14ac:dyDescent="0.25">
      <c r="A15" s="11" t="s">
        <v>134</v>
      </c>
      <c r="D15" s="12" t="s">
        <v>173</v>
      </c>
      <c r="G15" s="13" t="s">
        <v>202</v>
      </c>
      <c r="H15" s="14" t="s">
        <v>175</v>
      </c>
      <c r="I15" s="14" t="s">
        <v>203</v>
      </c>
      <c r="K15" s="15" t="s">
        <v>204</v>
      </c>
      <c r="O15" s="11" t="s">
        <v>172</v>
      </c>
    </row>
    <row r="16" spans="1:15" hidden="1" x14ac:dyDescent="0.25">
      <c r="A16" s="11" t="s">
        <v>134</v>
      </c>
      <c r="D16" s="12" t="s">
        <v>173</v>
      </c>
      <c r="G16" s="13" t="s">
        <v>205</v>
      </c>
      <c r="H16" s="14" t="s">
        <v>175</v>
      </c>
      <c r="I16" s="14" t="s">
        <v>206</v>
      </c>
      <c r="K16" s="15" t="s">
        <v>207</v>
      </c>
      <c r="O16" s="11" t="s">
        <v>172</v>
      </c>
    </row>
    <row r="17" spans="1:15" hidden="1" x14ac:dyDescent="0.25">
      <c r="A17" s="11" t="s">
        <v>134</v>
      </c>
      <c r="D17" s="12" t="s">
        <v>173</v>
      </c>
      <c r="G17" s="13" t="s">
        <v>208</v>
      </c>
      <c r="H17" s="14" t="s">
        <v>175</v>
      </c>
      <c r="I17" s="14" t="s">
        <v>209</v>
      </c>
      <c r="K17" s="15" t="s">
        <v>210</v>
      </c>
      <c r="O17" s="11" t="s">
        <v>172</v>
      </c>
    </row>
    <row r="18" spans="1:15" hidden="1" x14ac:dyDescent="0.25">
      <c r="A18" s="11" t="s">
        <v>134</v>
      </c>
      <c r="D18" s="12" t="s">
        <v>168</v>
      </c>
      <c r="G18" s="13" t="s">
        <v>232</v>
      </c>
      <c r="H18" s="14" t="s">
        <v>168</v>
      </c>
      <c r="I18" s="14" t="s">
        <v>233</v>
      </c>
      <c r="K18" s="15" t="s">
        <v>234</v>
      </c>
      <c r="O18" s="11" t="s">
        <v>3263</v>
      </c>
    </row>
    <row r="19" spans="1:15" hidden="1" x14ac:dyDescent="0.25">
      <c r="A19" s="11" t="s">
        <v>134</v>
      </c>
      <c r="D19" s="12" t="s">
        <v>173</v>
      </c>
      <c r="G19" s="13" t="s">
        <v>214</v>
      </c>
      <c r="H19" s="14" t="s">
        <v>175</v>
      </c>
      <c r="I19" s="14" t="s">
        <v>215</v>
      </c>
      <c r="K19" s="15" t="s">
        <v>216</v>
      </c>
      <c r="O19" s="11" t="s">
        <v>172</v>
      </c>
    </row>
    <row r="20" spans="1:15" hidden="1" x14ac:dyDescent="0.25">
      <c r="A20" s="11" t="s">
        <v>134</v>
      </c>
      <c r="D20" s="12" t="s">
        <v>173</v>
      </c>
      <c r="G20" s="13" t="s">
        <v>217</v>
      </c>
      <c r="H20" s="14" t="s">
        <v>175</v>
      </c>
      <c r="I20" s="14" t="s">
        <v>218</v>
      </c>
      <c r="K20" s="15" t="s">
        <v>219</v>
      </c>
      <c r="O20" s="11" t="s">
        <v>172</v>
      </c>
    </row>
    <row r="21" spans="1:15" hidden="1" x14ac:dyDescent="0.25">
      <c r="A21" s="11" t="s">
        <v>134</v>
      </c>
      <c r="D21" s="12" t="s">
        <v>173</v>
      </c>
      <c r="G21" s="13" t="s">
        <v>220</v>
      </c>
      <c r="H21" s="14" t="s">
        <v>175</v>
      </c>
      <c r="I21" s="14" t="s">
        <v>221</v>
      </c>
      <c r="K21" s="15" t="s">
        <v>222</v>
      </c>
      <c r="O21" s="11" t="s">
        <v>172</v>
      </c>
    </row>
    <row r="22" spans="1:15" hidden="1" x14ac:dyDescent="0.25">
      <c r="A22" s="11" t="s">
        <v>134</v>
      </c>
      <c r="D22" s="12" t="s">
        <v>173</v>
      </c>
      <c r="G22" s="13" t="s">
        <v>223</v>
      </c>
      <c r="H22" s="14" t="s">
        <v>175</v>
      </c>
      <c r="I22" s="14" t="s">
        <v>224</v>
      </c>
      <c r="K22" s="15" t="s">
        <v>225</v>
      </c>
      <c r="O22" s="11" t="s">
        <v>172</v>
      </c>
    </row>
    <row r="23" spans="1:15" hidden="1" x14ac:dyDescent="0.25">
      <c r="A23" s="11" t="s">
        <v>134</v>
      </c>
      <c r="D23" s="12" t="s">
        <v>173</v>
      </c>
      <c r="G23" s="13" t="s">
        <v>226</v>
      </c>
      <c r="H23" s="14" t="s">
        <v>175</v>
      </c>
      <c r="I23" s="14" t="s">
        <v>227</v>
      </c>
      <c r="K23" s="15" t="s">
        <v>228</v>
      </c>
      <c r="O23" s="11" t="s">
        <v>172</v>
      </c>
    </row>
    <row r="24" spans="1:15" hidden="1" x14ac:dyDescent="0.25">
      <c r="A24" s="11" t="s">
        <v>134</v>
      </c>
      <c r="D24" s="12" t="s">
        <v>173</v>
      </c>
      <c r="G24" s="13" t="s">
        <v>229</v>
      </c>
      <c r="H24" s="14" t="s">
        <v>175</v>
      </c>
      <c r="I24" s="14" t="s">
        <v>230</v>
      </c>
      <c r="K24" s="15" t="s">
        <v>231</v>
      </c>
      <c r="O24" s="11" t="s">
        <v>172</v>
      </c>
    </row>
    <row r="25" spans="1:15" hidden="1" x14ac:dyDescent="0.25">
      <c r="A25" s="11" t="s">
        <v>134</v>
      </c>
      <c r="D25" s="12" t="s">
        <v>168</v>
      </c>
      <c r="G25" s="13" t="s">
        <v>232</v>
      </c>
      <c r="H25" s="14" t="s">
        <v>168</v>
      </c>
      <c r="I25" s="14" t="s">
        <v>233</v>
      </c>
      <c r="K25" s="15" t="s">
        <v>234</v>
      </c>
      <c r="O25" s="11" t="s">
        <v>172</v>
      </c>
    </row>
    <row r="26" spans="1:15" hidden="1" x14ac:dyDescent="0.25">
      <c r="A26" s="11" t="s">
        <v>134</v>
      </c>
      <c r="D26" s="12" t="s">
        <v>173</v>
      </c>
      <c r="G26" s="13" t="s">
        <v>235</v>
      </c>
      <c r="H26" s="14" t="s">
        <v>175</v>
      </c>
      <c r="I26" s="14" t="s">
        <v>236</v>
      </c>
      <c r="K26" s="15" t="s">
        <v>237</v>
      </c>
      <c r="O26" s="11" t="s">
        <v>172</v>
      </c>
    </row>
    <row r="27" spans="1:15" hidden="1" x14ac:dyDescent="0.25">
      <c r="A27" s="11" t="s">
        <v>134</v>
      </c>
      <c r="D27" s="12" t="s">
        <v>173</v>
      </c>
      <c r="G27" s="13" t="s">
        <v>238</v>
      </c>
      <c r="H27" s="14" t="s">
        <v>175</v>
      </c>
      <c r="I27" s="14" t="s">
        <v>239</v>
      </c>
      <c r="K27" s="15" t="s">
        <v>240</v>
      </c>
      <c r="O27" s="11" t="s">
        <v>172</v>
      </c>
    </row>
    <row r="28" spans="1:15" hidden="1" x14ac:dyDescent="0.25">
      <c r="A28" s="11" t="s">
        <v>134</v>
      </c>
      <c r="D28" s="12" t="s">
        <v>173</v>
      </c>
      <c r="G28" s="13" t="s">
        <v>241</v>
      </c>
      <c r="H28" s="14" t="s">
        <v>175</v>
      </c>
      <c r="I28" s="14" t="s">
        <v>242</v>
      </c>
      <c r="K28" s="15" t="s">
        <v>243</v>
      </c>
      <c r="O28" s="11" t="s">
        <v>172</v>
      </c>
    </row>
    <row r="29" spans="1:15" hidden="1" x14ac:dyDescent="0.25">
      <c r="A29" s="11" t="s">
        <v>134</v>
      </c>
      <c r="D29" s="12" t="s">
        <v>173</v>
      </c>
      <c r="G29" s="13" t="s">
        <v>244</v>
      </c>
      <c r="H29" s="14" t="s">
        <v>175</v>
      </c>
      <c r="I29" s="14" t="s">
        <v>245</v>
      </c>
      <c r="K29" s="15" t="s">
        <v>246</v>
      </c>
      <c r="O29" s="11" t="s">
        <v>172</v>
      </c>
    </row>
    <row r="30" spans="1:15" hidden="1" x14ac:dyDescent="0.25">
      <c r="A30" s="11" t="s">
        <v>134</v>
      </c>
      <c r="D30" s="12" t="s">
        <v>173</v>
      </c>
      <c r="G30" s="13" t="s">
        <v>247</v>
      </c>
      <c r="H30" s="14" t="s">
        <v>175</v>
      </c>
      <c r="I30" s="14" t="s">
        <v>248</v>
      </c>
      <c r="K30" s="15" t="s">
        <v>249</v>
      </c>
      <c r="O30" s="11" t="s">
        <v>172</v>
      </c>
    </row>
    <row r="31" spans="1:15" hidden="1" x14ac:dyDescent="0.25">
      <c r="A31" s="11" t="s">
        <v>134</v>
      </c>
      <c r="D31" s="12" t="s">
        <v>173</v>
      </c>
      <c r="G31" s="13" t="s">
        <v>250</v>
      </c>
      <c r="H31" s="14" t="s">
        <v>175</v>
      </c>
      <c r="I31" s="14" t="s">
        <v>251</v>
      </c>
      <c r="K31" s="15" t="s">
        <v>252</v>
      </c>
      <c r="O31" s="11" t="s">
        <v>172</v>
      </c>
    </row>
    <row r="32" spans="1:15" hidden="1" x14ac:dyDescent="0.25">
      <c r="A32" s="11" t="s">
        <v>134</v>
      </c>
      <c r="D32" s="12" t="s">
        <v>168</v>
      </c>
      <c r="G32" s="13" t="s">
        <v>253</v>
      </c>
      <c r="H32" s="14" t="s">
        <v>168</v>
      </c>
      <c r="I32" s="14" t="s">
        <v>254</v>
      </c>
      <c r="K32" s="15" t="s">
        <v>255</v>
      </c>
      <c r="O32" s="11" t="s">
        <v>172</v>
      </c>
    </row>
    <row r="33" spans="1:15" hidden="1" x14ac:dyDescent="0.25">
      <c r="A33" s="11" t="s">
        <v>134</v>
      </c>
      <c r="B33" s="11" t="s">
        <v>134</v>
      </c>
      <c r="C33" s="12" t="s">
        <v>134</v>
      </c>
      <c r="D33" s="12" t="s">
        <v>2</v>
      </c>
      <c r="E33" s="13" t="s">
        <v>2</v>
      </c>
      <c r="F33" s="111" t="s">
        <v>2</v>
      </c>
      <c r="G33" s="13" t="s">
        <v>2</v>
      </c>
      <c r="H33" s="14" t="s">
        <v>2</v>
      </c>
      <c r="I33" s="14" t="s">
        <v>21</v>
      </c>
      <c r="J33" s="12" t="s">
        <v>23</v>
      </c>
      <c r="K33" s="15" t="s">
        <v>21</v>
      </c>
      <c r="L33" s="16" t="s">
        <v>21</v>
      </c>
      <c r="M33" s="16" t="s">
        <v>21</v>
      </c>
      <c r="N33" s="58" t="s">
        <v>21</v>
      </c>
      <c r="O33" s="11" t="s">
        <v>21</v>
      </c>
    </row>
    <row r="34" spans="1:15" hidden="1" x14ac:dyDescent="0.25">
      <c r="A34" s="11" t="s">
        <v>134</v>
      </c>
      <c r="B34" s="11" t="s">
        <v>134</v>
      </c>
      <c r="C34" s="12" t="s">
        <v>134</v>
      </c>
      <c r="D34" s="12" t="s">
        <v>2</v>
      </c>
      <c r="E34" s="13" t="s">
        <v>2</v>
      </c>
      <c r="F34" s="111" t="s">
        <v>2</v>
      </c>
      <c r="G34" s="13" t="s">
        <v>2</v>
      </c>
      <c r="H34" s="14" t="s">
        <v>2</v>
      </c>
      <c r="I34" s="14" t="s">
        <v>21</v>
      </c>
      <c r="J34" s="12" t="s">
        <v>23</v>
      </c>
      <c r="K34" s="15" t="s">
        <v>21</v>
      </c>
      <c r="L34" s="16" t="s">
        <v>21</v>
      </c>
      <c r="M34" s="16" t="s">
        <v>21</v>
      </c>
      <c r="N34" s="58" t="s">
        <v>21</v>
      </c>
      <c r="O34" s="11" t="s">
        <v>21</v>
      </c>
    </row>
    <row r="35" spans="1:15" hidden="1" x14ac:dyDescent="0.25">
      <c r="A35" s="11" t="s">
        <v>134</v>
      </c>
      <c r="B35" s="11" t="s">
        <v>134</v>
      </c>
      <c r="C35" s="12" t="s">
        <v>134</v>
      </c>
      <c r="D35" s="12" t="s">
        <v>2</v>
      </c>
      <c r="E35" s="13" t="s">
        <v>2</v>
      </c>
      <c r="F35" s="111" t="s">
        <v>2</v>
      </c>
      <c r="G35" s="13" t="s">
        <v>2</v>
      </c>
      <c r="H35" s="14" t="s">
        <v>2</v>
      </c>
      <c r="I35" s="14" t="s">
        <v>21</v>
      </c>
      <c r="J35" s="12" t="s">
        <v>23</v>
      </c>
      <c r="K35" s="15" t="s">
        <v>21</v>
      </c>
      <c r="L35" s="16" t="s">
        <v>21</v>
      </c>
      <c r="M35" s="16" t="s">
        <v>21</v>
      </c>
      <c r="N35" s="58" t="s">
        <v>21</v>
      </c>
      <c r="O35" s="11" t="s">
        <v>21</v>
      </c>
    </row>
    <row r="36" spans="1:15" hidden="1" x14ac:dyDescent="0.25">
      <c r="A36" s="11" t="s">
        <v>134</v>
      </c>
      <c r="B36" s="11" t="s">
        <v>134</v>
      </c>
      <c r="C36" s="12" t="s">
        <v>134</v>
      </c>
      <c r="D36" s="12" t="s">
        <v>2</v>
      </c>
      <c r="E36" s="13" t="s">
        <v>2</v>
      </c>
      <c r="F36" s="111" t="s">
        <v>2</v>
      </c>
      <c r="G36" s="13" t="s">
        <v>2</v>
      </c>
      <c r="H36" s="14" t="s">
        <v>2</v>
      </c>
      <c r="I36" s="14" t="s">
        <v>21</v>
      </c>
      <c r="J36" s="12" t="s">
        <v>23</v>
      </c>
      <c r="K36" s="15" t="s">
        <v>21</v>
      </c>
      <c r="L36" s="16" t="s">
        <v>21</v>
      </c>
      <c r="M36" s="16" t="s">
        <v>21</v>
      </c>
      <c r="N36" s="58" t="s">
        <v>21</v>
      </c>
      <c r="O36" s="11" t="s">
        <v>21</v>
      </c>
    </row>
    <row r="37" spans="1:15" hidden="1" x14ac:dyDescent="0.25">
      <c r="A37" s="11" t="s">
        <v>134</v>
      </c>
      <c r="B37" s="11" t="s">
        <v>134</v>
      </c>
      <c r="C37" s="12" t="s">
        <v>134</v>
      </c>
      <c r="D37" s="12" t="s">
        <v>2</v>
      </c>
      <c r="E37" s="13" t="s">
        <v>2</v>
      </c>
      <c r="F37" s="111" t="s">
        <v>2</v>
      </c>
      <c r="G37" s="13" t="s">
        <v>2</v>
      </c>
      <c r="H37" s="14" t="s">
        <v>2</v>
      </c>
      <c r="I37" s="14" t="s">
        <v>21</v>
      </c>
      <c r="J37" s="12" t="s">
        <v>23</v>
      </c>
      <c r="K37" s="15" t="s">
        <v>21</v>
      </c>
      <c r="L37" s="16" t="s">
        <v>21</v>
      </c>
      <c r="M37" s="16" t="s">
        <v>21</v>
      </c>
      <c r="N37" s="58" t="s">
        <v>21</v>
      </c>
      <c r="O37" s="11" t="s">
        <v>21</v>
      </c>
    </row>
    <row r="38" spans="1:15" hidden="1" x14ac:dyDescent="0.25">
      <c r="A38" s="11" t="s">
        <v>134</v>
      </c>
      <c r="B38" s="11" t="s">
        <v>134</v>
      </c>
      <c r="C38" s="12" t="s">
        <v>134</v>
      </c>
      <c r="D38" s="12" t="s">
        <v>2</v>
      </c>
      <c r="E38" s="13" t="s">
        <v>2</v>
      </c>
      <c r="F38" s="111" t="s">
        <v>2</v>
      </c>
      <c r="G38" s="13" t="s">
        <v>2</v>
      </c>
      <c r="H38" s="14" t="s">
        <v>2</v>
      </c>
      <c r="I38" s="14" t="s">
        <v>21</v>
      </c>
      <c r="J38" s="12" t="s">
        <v>23</v>
      </c>
      <c r="K38" s="15" t="s">
        <v>21</v>
      </c>
      <c r="L38" s="16" t="s">
        <v>21</v>
      </c>
      <c r="M38" s="16" t="s">
        <v>21</v>
      </c>
      <c r="N38" s="58" t="s">
        <v>21</v>
      </c>
      <c r="O38" s="11" t="s">
        <v>21</v>
      </c>
    </row>
    <row r="39" spans="1:15" hidden="1" x14ac:dyDescent="0.25">
      <c r="A39" s="11" t="s">
        <v>134</v>
      </c>
      <c r="D39" s="12" t="s">
        <v>168</v>
      </c>
      <c r="G39" s="13" t="s">
        <v>253</v>
      </c>
      <c r="H39" s="14" t="s">
        <v>168</v>
      </c>
      <c r="I39" s="14" t="s">
        <v>254</v>
      </c>
      <c r="K39" s="15" t="s">
        <v>255</v>
      </c>
      <c r="O39" s="11" t="s">
        <v>172</v>
      </c>
    </row>
    <row r="40" spans="1:15" hidden="1" x14ac:dyDescent="0.25">
      <c r="A40" s="11" t="s">
        <v>134</v>
      </c>
      <c r="D40" s="12" t="s">
        <v>168</v>
      </c>
      <c r="G40" s="13" t="s">
        <v>253</v>
      </c>
      <c r="H40" s="14" t="s">
        <v>168</v>
      </c>
      <c r="I40" s="14" t="s">
        <v>254</v>
      </c>
      <c r="K40" s="15" t="s">
        <v>255</v>
      </c>
      <c r="O40" s="11" t="s">
        <v>172</v>
      </c>
    </row>
    <row r="41" spans="1:15" hidden="1" x14ac:dyDescent="0.25">
      <c r="A41" s="11" t="s">
        <v>134</v>
      </c>
      <c r="D41" s="12" t="s">
        <v>168</v>
      </c>
      <c r="G41" s="13" t="s">
        <v>253</v>
      </c>
      <c r="H41" s="14" t="s">
        <v>168</v>
      </c>
      <c r="I41" s="14" t="s">
        <v>254</v>
      </c>
      <c r="K41" s="15" t="s">
        <v>255</v>
      </c>
      <c r="O41" s="11" t="s">
        <v>3263</v>
      </c>
    </row>
    <row r="42" spans="1:15" hidden="1" x14ac:dyDescent="0.25">
      <c r="A42" s="11" t="s">
        <v>134</v>
      </c>
      <c r="D42" s="12" t="s">
        <v>173</v>
      </c>
      <c r="G42" s="13" t="s">
        <v>174</v>
      </c>
      <c r="H42" s="14" t="s">
        <v>175</v>
      </c>
      <c r="I42" s="14" t="s">
        <v>176</v>
      </c>
      <c r="K42" s="15" t="s">
        <v>177</v>
      </c>
      <c r="O42" s="11" t="s">
        <v>172</v>
      </c>
    </row>
    <row r="43" spans="1:15" hidden="1" x14ac:dyDescent="0.25">
      <c r="A43" s="11" t="s">
        <v>134</v>
      </c>
      <c r="D43" s="12" t="s">
        <v>168</v>
      </c>
      <c r="G43" s="13" t="s">
        <v>253</v>
      </c>
      <c r="H43" s="14" t="s">
        <v>168</v>
      </c>
      <c r="I43" s="14" t="s">
        <v>254</v>
      </c>
      <c r="K43" s="15" t="s">
        <v>255</v>
      </c>
      <c r="O43" s="11" t="s">
        <v>172</v>
      </c>
    </row>
    <row r="44" spans="1:15" hidden="1" x14ac:dyDescent="0.25">
      <c r="A44" s="11" t="s">
        <v>134</v>
      </c>
      <c r="D44" s="12" t="s">
        <v>173</v>
      </c>
      <c r="G44" s="13" t="s">
        <v>256</v>
      </c>
      <c r="H44" s="14" t="s">
        <v>175</v>
      </c>
      <c r="I44" s="14" t="s">
        <v>257</v>
      </c>
      <c r="K44" s="15" t="s">
        <v>258</v>
      </c>
      <c r="O44" s="11" t="s">
        <v>172</v>
      </c>
    </row>
    <row r="45" spans="1:15" hidden="1" x14ac:dyDescent="0.25">
      <c r="A45" s="11" t="s">
        <v>134</v>
      </c>
      <c r="D45" s="12" t="s">
        <v>173</v>
      </c>
      <c r="G45" s="13" t="s">
        <v>259</v>
      </c>
      <c r="H45" s="14" t="s">
        <v>175</v>
      </c>
      <c r="I45" s="14" t="s">
        <v>260</v>
      </c>
      <c r="K45" s="15" t="s">
        <v>261</v>
      </c>
      <c r="O45" s="11" t="s">
        <v>172</v>
      </c>
    </row>
    <row r="46" spans="1:15" hidden="1" x14ac:dyDescent="0.25">
      <c r="A46" s="11" t="s">
        <v>134</v>
      </c>
      <c r="D46" s="12" t="s">
        <v>168</v>
      </c>
      <c r="G46" s="13" t="s">
        <v>190</v>
      </c>
      <c r="H46" s="14" t="s">
        <v>168</v>
      </c>
      <c r="I46" s="14" t="s">
        <v>191</v>
      </c>
      <c r="K46" s="15" t="s">
        <v>192</v>
      </c>
      <c r="O46" s="11" t="s">
        <v>172</v>
      </c>
    </row>
    <row r="47" spans="1:15" hidden="1" x14ac:dyDescent="0.25">
      <c r="A47" s="11" t="s">
        <v>134</v>
      </c>
      <c r="D47" s="12" t="s">
        <v>173</v>
      </c>
      <c r="G47" s="13" t="s">
        <v>174</v>
      </c>
      <c r="H47" s="14" t="s">
        <v>175</v>
      </c>
      <c r="I47" s="14" t="s">
        <v>176</v>
      </c>
      <c r="K47" s="15" t="s">
        <v>177</v>
      </c>
      <c r="O47" s="11" t="s">
        <v>172</v>
      </c>
    </row>
    <row r="48" spans="1:15" hidden="1" x14ac:dyDescent="0.25">
      <c r="A48" s="11" t="s">
        <v>134</v>
      </c>
      <c r="D48" s="12" t="s">
        <v>173</v>
      </c>
      <c r="G48" s="13" t="s">
        <v>178</v>
      </c>
      <c r="H48" s="14" t="s">
        <v>175</v>
      </c>
      <c r="I48" s="14" t="s">
        <v>179</v>
      </c>
      <c r="K48" s="15" t="s">
        <v>180</v>
      </c>
      <c r="O48" s="11" t="s">
        <v>172</v>
      </c>
    </row>
    <row r="49" spans="1:15" hidden="1" x14ac:dyDescent="0.25">
      <c r="A49" s="11" t="s">
        <v>134</v>
      </c>
      <c r="D49" s="12" t="s">
        <v>173</v>
      </c>
      <c r="G49" s="13" t="s">
        <v>181</v>
      </c>
      <c r="H49" s="14" t="s">
        <v>175</v>
      </c>
      <c r="I49" s="14" t="s">
        <v>182</v>
      </c>
      <c r="K49" s="15" t="s">
        <v>183</v>
      </c>
      <c r="O49" s="11" t="s">
        <v>172</v>
      </c>
    </row>
    <row r="50" spans="1:15" hidden="1" x14ac:dyDescent="0.25">
      <c r="A50" s="11" t="s">
        <v>134</v>
      </c>
      <c r="D50" s="12" t="s">
        <v>173</v>
      </c>
      <c r="G50" s="13" t="s">
        <v>184</v>
      </c>
      <c r="H50" s="14" t="s">
        <v>175</v>
      </c>
      <c r="I50" s="14" t="s">
        <v>185</v>
      </c>
      <c r="K50" s="15" t="s">
        <v>186</v>
      </c>
      <c r="O50" s="11" t="s">
        <v>172</v>
      </c>
    </row>
    <row r="51" spans="1:15" hidden="1" x14ac:dyDescent="0.25">
      <c r="A51" s="11" t="s">
        <v>134</v>
      </c>
      <c r="D51" s="12" t="s">
        <v>173</v>
      </c>
      <c r="G51" s="13" t="s">
        <v>187</v>
      </c>
      <c r="H51" s="14" t="s">
        <v>175</v>
      </c>
      <c r="I51" s="14" t="s">
        <v>188</v>
      </c>
      <c r="K51" s="15" t="s">
        <v>189</v>
      </c>
      <c r="O51" s="11" t="s">
        <v>172</v>
      </c>
    </row>
    <row r="52" spans="1:15" hidden="1" x14ac:dyDescent="0.25">
      <c r="A52" s="11" t="s">
        <v>134</v>
      </c>
      <c r="D52" s="12" t="s">
        <v>168</v>
      </c>
      <c r="G52" s="13" t="s">
        <v>190</v>
      </c>
      <c r="H52" s="14" t="s">
        <v>168</v>
      </c>
      <c r="I52" s="14" t="s">
        <v>191</v>
      </c>
      <c r="K52" s="15" t="s">
        <v>192</v>
      </c>
      <c r="O52" s="11" t="s">
        <v>172</v>
      </c>
    </row>
    <row r="53" spans="1:15" hidden="1" x14ac:dyDescent="0.25">
      <c r="A53" s="11" t="s">
        <v>134</v>
      </c>
      <c r="D53" s="12" t="s">
        <v>168</v>
      </c>
      <c r="G53" s="13" t="s">
        <v>190</v>
      </c>
      <c r="H53" s="14" t="s">
        <v>168</v>
      </c>
      <c r="I53" s="14" t="s">
        <v>191</v>
      </c>
      <c r="K53" s="15" t="s">
        <v>192</v>
      </c>
      <c r="O53" s="11" t="s">
        <v>172</v>
      </c>
    </row>
    <row r="54" spans="1:15" hidden="1" x14ac:dyDescent="0.25">
      <c r="A54" s="11" t="s">
        <v>134</v>
      </c>
      <c r="D54" s="12" t="s">
        <v>173</v>
      </c>
      <c r="G54" s="13" t="s">
        <v>196</v>
      </c>
      <c r="H54" s="14" t="s">
        <v>175</v>
      </c>
      <c r="I54" s="14" t="s">
        <v>197</v>
      </c>
      <c r="K54" s="15" t="s">
        <v>198</v>
      </c>
      <c r="O54" s="11" t="s">
        <v>172</v>
      </c>
    </row>
    <row r="55" spans="1:15" hidden="1" x14ac:dyDescent="0.25">
      <c r="A55" s="11" t="s">
        <v>134</v>
      </c>
      <c r="D55" s="12" t="s">
        <v>173</v>
      </c>
      <c r="G55" s="13" t="s">
        <v>199</v>
      </c>
      <c r="H55" s="14" t="s">
        <v>175</v>
      </c>
      <c r="I55" s="14" t="s">
        <v>200</v>
      </c>
      <c r="K55" s="15" t="s">
        <v>201</v>
      </c>
      <c r="O55" s="11" t="s">
        <v>172</v>
      </c>
    </row>
    <row r="56" spans="1:15" hidden="1" x14ac:dyDescent="0.25">
      <c r="A56" s="11" t="s">
        <v>134</v>
      </c>
      <c r="D56" s="12" t="s">
        <v>173</v>
      </c>
      <c r="G56" s="13" t="s">
        <v>202</v>
      </c>
      <c r="H56" s="14" t="s">
        <v>175</v>
      </c>
      <c r="I56" s="14" t="s">
        <v>203</v>
      </c>
      <c r="K56" s="15" t="s">
        <v>204</v>
      </c>
      <c r="O56" s="11" t="s">
        <v>172</v>
      </c>
    </row>
    <row r="57" spans="1:15" hidden="1" x14ac:dyDescent="0.25">
      <c r="A57" s="11" t="s">
        <v>134</v>
      </c>
      <c r="D57" s="12" t="s">
        <v>173</v>
      </c>
      <c r="G57" s="13" t="s">
        <v>205</v>
      </c>
      <c r="H57" s="14" t="s">
        <v>175</v>
      </c>
      <c r="I57" s="14" t="s">
        <v>206</v>
      </c>
      <c r="K57" s="15" t="s">
        <v>207</v>
      </c>
      <c r="O57" s="11" t="s">
        <v>172</v>
      </c>
    </row>
    <row r="58" spans="1:15" hidden="1" x14ac:dyDescent="0.25">
      <c r="A58" s="11" t="s">
        <v>134</v>
      </c>
      <c r="D58" s="12" t="s">
        <v>173</v>
      </c>
      <c r="G58" s="13" t="s">
        <v>208</v>
      </c>
      <c r="H58" s="14" t="s">
        <v>175</v>
      </c>
      <c r="I58" s="14" t="s">
        <v>209</v>
      </c>
      <c r="K58" s="15" t="s">
        <v>210</v>
      </c>
      <c r="O58" s="11" t="s">
        <v>172</v>
      </c>
    </row>
    <row r="59" spans="1:15" hidden="1" x14ac:dyDescent="0.25">
      <c r="A59" s="11" t="s">
        <v>134</v>
      </c>
      <c r="D59" s="12" t="s">
        <v>168</v>
      </c>
      <c r="G59" s="13" t="s">
        <v>190</v>
      </c>
      <c r="H59" s="14" t="s">
        <v>168</v>
      </c>
      <c r="I59" s="14" t="s">
        <v>191</v>
      </c>
      <c r="K59" s="15" t="s">
        <v>192</v>
      </c>
      <c r="O59" s="11" t="s">
        <v>3263</v>
      </c>
    </row>
    <row r="60" spans="1:15" hidden="1" x14ac:dyDescent="0.25">
      <c r="A60" s="11" t="s">
        <v>134</v>
      </c>
      <c r="D60" s="12" t="s">
        <v>173</v>
      </c>
      <c r="G60" s="13" t="s">
        <v>214</v>
      </c>
      <c r="H60" s="14" t="s">
        <v>175</v>
      </c>
      <c r="I60" s="14" t="s">
        <v>215</v>
      </c>
      <c r="K60" s="15" t="s">
        <v>216</v>
      </c>
      <c r="O60" s="11" t="s">
        <v>172</v>
      </c>
    </row>
    <row r="61" spans="1:15" hidden="1" x14ac:dyDescent="0.25">
      <c r="A61" s="11" t="s">
        <v>134</v>
      </c>
      <c r="D61" s="12" t="s">
        <v>173</v>
      </c>
      <c r="G61" s="13" t="s">
        <v>217</v>
      </c>
      <c r="H61" s="14" t="s">
        <v>175</v>
      </c>
      <c r="I61" s="14" t="s">
        <v>218</v>
      </c>
      <c r="K61" s="15" t="s">
        <v>219</v>
      </c>
      <c r="O61" s="11" t="s">
        <v>172</v>
      </c>
    </row>
    <row r="62" spans="1:15" hidden="1" x14ac:dyDescent="0.25">
      <c r="A62" s="11" t="s">
        <v>134</v>
      </c>
      <c r="D62" s="12" t="s">
        <v>173</v>
      </c>
      <c r="G62" s="13" t="s">
        <v>220</v>
      </c>
      <c r="H62" s="14" t="s">
        <v>175</v>
      </c>
      <c r="I62" s="14" t="s">
        <v>221</v>
      </c>
      <c r="K62" s="15" t="s">
        <v>222</v>
      </c>
      <c r="O62" s="11" t="s">
        <v>172</v>
      </c>
    </row>
    <row r="63" spans="1:15" hidden="1" x14ac:dyDescent="0.25">
      <c r="A63" s="11" t="s">
        <v>134</v>
      </c>
      <c r="D63" s="12" t="s">
        <v>173</v>
      </c>
      <c r="G63" s="13" t="s">
        <v>223</v>
      </c>
      <c r="H63" s="14" t="s">
        <v>175</v>
      </c>
      <c r="I63" s="14" t="s">
        <v>224</v>
      </c>
      <c r="K63" s="15" t="s">
        <v>225</v>
      </c>
      <c r="O63" s="11" t="s">
        <v>172</v>
      </c>
    </row>
    <row r="64" spans="1:15" hidden="1" x14ac:dyDescent="0.25">
      <c r="A64" s="11" t="s">
        <v>134</v>
      </c>
      <c r="D64" s="12" t="s">
        <v>173</v>
      </c>
      <c r="G64" s="13" t="s">
        <v>226</v>
      </c>
      <c r="H64" s="14" t="s">
        <v>175</v>
      </c>
      <c r="I64" s="14" t="s">
        <v>227</v>
      </c>
      <c r="K64" s="15" t="s">
        <v>228</v>
      </c>
      <c r="O64" s="11" t="s">
        <v>172</v>
      </c>
    </row>
    <row r="65" spans="1:15" hidden="1" x14ac:dyDescent="0.25">
      <c r="A65" s="11" t="s">
        <v>134</v>
      </c>
      <c r="D65" s="12" t="s">
        <v>173</v>
      </c>
      <c r="G65" s="13" t="s">
        <v>229</v>
      </c>
      <c r="H65" s="14" t="s">
        <v>175</v>
      </c>
      <c r="I65" s="14" t="s">
        <v>230</v>
      </c>
      <c r="K65" s="15" t="s">
        <v>231</v>
      </c>
      <c r="O65" s="11" t="s">
        <v>172</v>
      </c>
    </row>
    <row r="66" spans="1:15" hidden="1" x14ac:dyDescent="0.25">
      <c r="A66" s="11" t="s">
        <v>134</v>
      </c>
      <c r="D66" s="12" t="s">
        <v>168</v>
      </c>
      <c r="G66" s="13" t="s">
        <v>190</v>
      </c>
      <c r="H66" s="14" t="s">
        <v>168</v>
      </c>
      <c r="I66" s="14" t="s">
        <v>191</v>
      </c>
      <c r="K66" s="15" t="s">
        <v>192</v>
      </c>
      <c r="O66" s="11" t="s">
        <v>172</v>
      </c>
    </row>
    <row r="67" spans="1:15" hidden="1" x14ac:dyDescent="0.25">
      <c r="A67" s="11" t="s">
        <v>134</v>
      </c>
      <c r="D67" s="12" t="s">
        <v>173</v>
      </c>
      <c r="G67" s="13" t="s">
        <v>235</v>
      </c>
      <c r="H67" s="14" t="s">
        <v>175</v>
      </c>
      <c r="I67" s="14" t="s">
        <v>236</v>
      </c>
      <c r="K67" s="15" t="s">
        <v>237</v>
      </c>
      <c r="O67" s="11" t="s">
        <v>172</v>
      </c>
    </row>
    <row r="68" spans="1:15" hidden="1" x14ac:dyDescent="0.25">
      <c r="A68" s="11" t="s">
        <v>134</v>
      </c>
      <c r="D68" s="12" t="s">
        <v>173</v>
      </c>
      <c r="G68" s="13" t="s">
        <v>238</v>
      </c>
      <c r="H68" s="14" t="s">
        <v>175</v>
      </c>
      <c r="I68" s="14" t="s">
        <v>239</v>
      </c>
      <c r="K68" s="15" t="s">
        <v>240</v>
      </c>
      <c r="O68" s="11" t="s">
        <v>172</v>
      </c>
    </row>
    <row r="69" spans="1:15" hidden="1" x14ac:dyDescent="0.25">
      <c r="A69" s="11" t="s">
        <v>134</v>
      </c>
      <c r="D69" s="12" t="s">
        <v>173</v>
      </c>
      <c r="G69" s="13" t="s">
        <v>241</v>
      </c>
      <c r="H69" s="14" t="s">
        <v>175</v>
      </c>
      <c r="I69" s="14" t="s">
        <v>242</v>
      </c>
      <c r="K69" s="15" t="s">
        <v>243</v>
      </c>
      <c r="O69" s="11" t="s">
        <v>172</v>
      </c>
    </row>
    <row r="70" spans="1:15" hidden="1" x14ac:dyDescent="0.25">
      <c r="A70" s="11" t="s">
        <v>134</v>
      </c>
      <c r="D70" s="12" t="s">
        <v>173</v>
      </c>
      <c r="G70" s="13" t="s">
        <v>244</v>
      </c>
      <c r="H70" s="14" t="s">
        <v>175</v>
      </c>
      <c r="I70" s="14" t="s">
        <v>245</v>
      </c>
      <c r="K70" s="15" t="s">
        <v>246</v>
      </c>
      <c r="O70" s="11" t="s">
        <v>172</v>
      </c>
    </row>
    <row r="71" spans="1:15" hidden="1" x14ac:dyDescent="0.25">
      <c r="A71" s="11" t="s">
        <v>134</v>
      </c>
      <c r="D71" s="12" t="s">
        <v>173</v>
      </c>
      <c r="G71" s="13" t="s">
        <v>247</v>
      </c>
      <c r="H71" s="14" t="s">
        <v>175</v>
      </c>
      <c r="I71" s="14" t="s">
        <v>248</v>
      </c>
      <c r="K71" s="15" t="s">
        <v>249</v>
      </c>
      <c r="O71" s="11" t="s">
        <v>172</v>
      </c>
    </row>
    <row r="72" spans="1:15" hidden="1" x14ac:dyDescent="0.25">
      <c r="A72" s="11" t="s">
        <v>134</v>
      </c>
      <c r="D72" s="12" t="s">
        <v>173</v>
      </c>
      <c r="G72" s="13" t="s">
        <v>250</v>
      </c>
      <c r="H72" s="14" t="s">
        <v>175</v>
      </c>
      <c r="I72" s="14" t="s">
        <v>251</v>
      </c>
      <c r="K72" s="15" t="s">
        <v>252</v>
      </c>
      <c r="O72" s="11" t="s">
        <v>172</v>
      </c>
    </row>
    <row r="73" spans="1:15" hidden="1" x14ac:dyDescent="0.25">
      <c r="A73" s="11" t="s">
        <v>134</v>
      </c>
      <c r="D73" s="12" t="s">
        <v>168</v>
      </c>
      <c r="G73" s="13" t="s">
        <v>211</v>
      </c>
      <c r="H73" s="14" t="s">
        <v>168</v>
      </c>
      <c r="I73" s="14" t="s">
        <v>212</v>
      </c>
      <c r="K73" s="15" t="s">
        <v>213</v>
      </c>
      <c r="O73" s="11" t="s">
        <v>172</v>
      </c>
    </row>
    <row r="74" spans="1:15" hidden="1" x14ac:dyDescent="0.25">
      <c r="A74" s="11" t="s">
        <v>134</v>
      </c>
      <c r="D74" s="12" t="s">
        <v>173</v>
      </c>
      <c r="G74" s="13" t="s">
        <v>256</v>
      </c>
      <c r="H74" s="14" t="s">
        <v>175</v>
      </c>
      <c r="I74" s="14" t="s">
        <v>257</v>
      </c>
      <c r="K74" s="15" t="s">
        <v>258</v>
      </c>
      <c r="O74" s="11" t="s">
        <v>172</v>
      </c>
    </row>
    <row r="75" spans="1:15" hidden="1" x14ac:dyDescent="0.25">
      <c r="A75" s="11" t="s">
        <v>134</v>
      </c>
      <c r="D75" s="12" t="s">
        <v>173</v>
      </c>
      <c r="G75" s="13" t="s">
        <v>259</v>
      </c>
      <c r="H75" s="14" t="s">
        <v>175</v>
      </c>
      <c r="I75" s="14" t="s">
        <v>260</v>
      </c>
      <c r="K75" s="15" t="s">
        <v>261</v>
      </c>
      <c r="O75" s="11" t="s">
        <v>172</v>
      </c>
    </row>
    <row r="76" spans="1:15" hidden="1" x14ac:dyDescent="0.25">
      <c r="A76" s="11" t="s">
        <v>134</v>
      </c>
      <c r="D76" s="12" t="s">
        <v>173</v>
      </c>
      <c r="G76" s="13" t="s">
        <v>262</v>
      </c>
      <c r="H76" s="14" t="s">
        <v>175</v>
      </c>
      <c r="I76" s="14" t="s">
        <v>263</v>
      </c>
      <c r="K76" s="15" t="s">
        <v>264</v>
      </c>
      <c r="O76" s="11" t="s">
        <v>172</v>
      </c>
    </row>
    <row r="77" spans="1:15" hidden="1" x14ac:dyDescent="0.25">
      <c r="A77" s="11" t="s">
        <v>134</v>
      </c>
      <c r="D77" s="12" t="s">
        <v>173</v>
      </c>
      <c r="G77" s="13" t="s">
        <v>265</v>
      </c>
      <c r="H77" s="14" t="s">
        <v>175</v>
      </c>
      <c r="I77" s="14" t="s">
        <v>266</v>
      </c>
      <c r="K77" s="15" t="s">
        <v>267</v>
      </c>
      <c r="O77" s="11" t="s">
        <v>172</v>
      </c>
    </row>
    <row r="78" spans="1:15" hidden="1" x14ac:dyDescent="0.25">
      <c r="A78" s="11" t="s">
        <v>134</v>
      </c>
      <c r="D78" s="12" t="s">
        <v>173</v>
      </c>
      <c r="G78" s="13" t="s">
        <v>268</v>
      </c>
      <c r="H78" s="14" t="s">
        <v>175</v>
      </c>
      <c r="I78" s="14" t="s">
        <v>269</v>
      </c>
      <c r="K78" s="15" t="s">
        <v>270</v>
      </c>
      <c r="O78" s="11" t="s">
        <v>172</v>
      </c>
    </row>
    <row r="79" spans="1:15" hidden="1" x14ac:dyDescent="0.25">
      <c r="A79" s="11" t="s">
        <v>134</v>
      </c>
      <c r="D79" s="12" t="s">
        <v>173</v>
      </c>
      <c r="G79" s="13" t="s">
        <v>271</v>
      </c>
      <c r="H79" s="14" t="s">
        <v>175</v>
      </c>
      <c r="I79" s="14" t="s">
        <v>272</v>
      </c>
      <c r="K79" s="15" t="s">
        <v>273</v>
      </c>
      <c r="O79" s="11" t="s">
        <v>172</v>
      </c>
    </row>
    <row r="80" spans="1:15" hidden="1" x14ac:dyDescent="0.25">
      <c r="A80" s="11" t="s">
        <v>134</v>
      </c>
      <c r="D80" s="12" t="s">
        <v>168</v>
      </c>
      <c r="G80" s="13" t="s">
        <v>211</v>
      </c>
      <c r="H80" s="14" t="s">
        <v>168</v>
      </c>
      <c r="I80" s="14" t="s">
        <v>212</v>
      </c>
      <c r="K80" s="15" t="s">
        <v>213</v>
      </c>
      <c r="O80" s="11" t="s">
        <v>172</v>
      </c>
    </row>
    <row r="81" spans="1:15" hidden="1" x14ac:dyDescent="0.25">
      <c r="A81" s="11" t="s">
        <v>134</v>
      </c>
      <c r="D81" s="12" t="s">
        <v>168</v>
      </c>
      <c r="G81" s="13" t="s">
        <v>211</v>
      </c>
      <c r="H81" s="14" t="s">
        <v>168</v>
      </c>
      <c r="I81" s="14" t="s">
        <v>212</v>
      </c>
      <c r="K81" s="15" t="s">
        <v>213</v>
      </c>
      <c r="O81" s="11" t="s">
        <v>172</v>
      </c>
    </row>
    <row r="82" spans="1:15" hidden="1" x14ac:dyDescent="0.25">
      <c r="A82" s="11" t="s">
        <v>134</v>
      </c>
      <c r="D82" s="12" t="s">
        <v>168</v>
      </c>
      <c r="G82" s="13" t="s">
        <v>211</v>
      </c>
      <c r="H82" s="14" t="s">
        <v>168</v>
      </c>
      <c r="I82" s="14" t="s">
        <v>212</v>
      </c>
      <c r="K82" s="15" t="s">
        <v>213</v>
      </c>
      <c r="O82" s="11" t="s">
        <v>3263</v>
      </c>
    </row>
    <row r="83" spans="1:15" hidden="1" x14ac:dyDescent="0.25">
      <c r="A83" s="11" t="s">
        <v>134</v>
      </c>
      <c r="D83" s="12" t="s">
        <v>168</v>
      </c>
      <c r="G83" s="13" t="s">
        <v>211</v>
      </c>
      <c r="H83" s="14" t="s">
        <v>168</v>
      </c>
      <c r="I83" s="14" t="s">
        <v>212</v>
      </c>
      <c r="K83" s="15" t="s">
        <v>213</v>
      </c>
      <c r="O83" s="11" t="s">
        <v>172</v>
      </c>
    </row>
    <row r="84" spans="1:15" hidden="1" x14ac:dyDescent="0.25">
      <c r="A84" s="11" t="s">
        <v>134</v>
      </c>
      <c r="D84" s="12" t="s">
        <v>173</v>
      </c>
      <c r="G84" s="13" t="s">
        <v>174</v>
      </c>
      <c r="H84" s="14" t="s">
        <v>175</v>
      </c>
      <c r="I84" s="14" t="s">
        <v>176</v>
      </c>
      <c r="K84" s="15" t="s">
        <v>177</v>
      </c>
      <c r="O84" s="11" t="s">
        <v>172</v>
      </c>
    </row>
    <row r="85" spans="1:15" hidden="1" x14ac:dyDescent="0.25">
      <c r="A85" s="11" t="s">
        <v>134</v>
      </c>
      <c r="D85" s="12" t="s">
        <v>173</v>
      </c>
      <c r="G85" s="13" t="s">
        <v>178</v>
      </c>
      <c r="H85" s="14" t="s">
        <v>175</v>
      </c>
      <c r="I85" s="14" t="s">
        <v>179</v>
      </c>
      <c r="K85" s="15" t="s">
        <v>180</v>
      </c>
      <c r="O85" s="11" t="s">
        <v>172</v>
      </c>
    </row>
    <row r="86" spans="1:15" hidden="1" x14ac:dyDescent="0.25">
      <c r="A86" s="11" t="s">
        <v>134</v>
      </c>
      <c r="D86" s="12" t="s">
        <v>173</v>
      </c>
      <c r="G86" s="13" t="s">
        <v>181</v>
      </c>
      <c r="H86" s="14" t="s">
        <v>175</v>
      </c>
      <c r="I86" s="14" t="s">
        <v>182</v>
      </c>
      <c r="K86" s="15" t="s">
        <v>183</v>
      </c>
      <c r="O86" s="11" t="s">
        <v>172</v>
      </c>
    </row>
    <row r="87" spans="1:15" hidden="1" x14ac:dyDescent="0.25">
      <c r="A87" s="11" t="s">
        <v>134</v>
      </c>
      <c r="D87" s="12" t="s">
        <v>173</v>
      </c>
      <c r="G87" s="13" t="s">
        <v>184</v>
      </c>
      <c r="H87" s="14" t="s">
        <v>175</v>
      </c>
      <c r="I87" s="14" t="s">
        <v>185</v>
      </c>
      <c r="K87" s="15" t="s">
        <v>186</v>
      </c>
      <c r="O87" s="11" t="s">
        <v>172</v>
      </c>
    </row>
    <row r="88" spans="1:15" hidden="1" x14ac:dyDescent="0.25">
      <c r="A88" s="11" t="s">
        <v>134</v>
      </c>
      <c r="D88" s="12" t="s">
        <v>173</v>
      </c>
      <c r="G88" s="13" t="s">
        <v>187</v>
      </c>
      <c r="H88" s="14" t="s">
        <v>175</v>
      </c>
      <c r="I88" s="14" t="s">
        <v>188</v>
      </c>
      <c r="K88" s="15" t="s">
        <v>189</v>
      </c>
      <c r="O88" s="11" t="s">
        <v>172</v>
      </c>
    </row>
    <row r="89" spans="1:15" hidden="1" x14ac:dyDescent="0.25">
      <c r="A89" s="11" t="s">
        <v>134</v>
      </c>
      <c r="D89" s="12" t="s">
        <v>168</v>
      </c>
      <c r="G89" s="13" t="s">
        <v>169</v>
      </c>
      <c r="H89" s="14" t="s">
        <v>168</v>
      </c>
      <c r="I89" s="14" t="s">
        <v>170</v>
      </c>
      <c r="K89" s="15" t="s">
        <v>171</v>
      </c>
      <c r="O89" s="11" t="s">
        <v>172</v>
      </c>
    </row>
    <row r="90" spans="1:15" hidden="1" x14ac:dyDescent="0.25">
      <c r="A90" s="11" t="s">
        <v>134</v>
      </c>
      <c r="D90" s="12" t="s">
        <v>168</v>
      </c>
      <c r="G90" s="13" t="s">
        <v>169</v>
      </c>
      <c r="H90" s="14" t="s">
        <v>168</v>
      </c>
      <c r="I90" s="14" t="s">
        <v>170</v>
      </c>
      <c r="K90" s="15" t="s">
        <v>171</v>
      </c>
      <c r="O90" s="11" t="s">
        <v>172</v>
      </c>
    </row>
    <row r="91" spans="1:15" hidden="1" x14ac:dyDescent="0.25">
      <c r="A91" s="11" t="s">
        <v>134</v>
      </c>
      <c r="D91" s="12" t="s">
        <v>173</v>
      </c>
      <c r="G91" s="13" t="s">
        <v>196</v>
      </c>
      <c r="H91" s="14" t="s">
        <v>175</v>
      </c>
      <c r="I91" s="14" t="s">
        <v>197</v>
      </c>
      <c r="K91" s="15" t="s">
        <v>198</v>
      </c>
      <c r="O91" s="11" t="s">
        <v>172</v>
      </c>
    </row>
    <row r="92" spans="1:15" hidden="1" x14ac:dyDescent="0.25">
      <c r="A92" s="11" t="s">
        <v>134</v>
      </c>
      <c r="D92" s="12" t="s">
        <v>173</v>
      </c>
      <c r="G92" s="13" t="s">
        <v>199</v>
      </c>
      <c r="H92" s="14" t="s">
        <v>175</v>
      </c>
      <c r="I92" s="14" t="s">
        <v>200</v>
      </c>
      <c r="K92" s="15" t="s">
        <v>201</v>
      </c>
      <c r="O92" s="11" t="s">
        <v>172</v>
      </c>
    </row>
    <row r="93" spans="1:15" hidden="1" x14ac:dyDescent="0.25">
      <c r="A93" s="11" t="s">
        <v>134</v>
      </c>
      <c r="D93" s="12" t="s">
        <v>173</v>
      </c>
      <c r="G93" s="13" t="s">
        <v>202</v>
      </c>
      <c r="H93" s="14" t="s">
        <v>175</v>
      </c>
      <c r="I93" s="14" t="s">
        <v>203</v>
      </c>
      <c r="K93" s="15" t="s">
        <v>204</v>
      </c>
      <c r="O93" s="11" t="s">
        <v>172</v>
      </c>
    </row>
    <row r="94" spans="1:15" hidden="1" x14ac:dyDescent="0.25">
      <c r="A94" s="11" t="s">
        <v>134</v>
      </c>
      <c r="D94" s="12" t="s">
        <v>173</v>
      </c>
      <c r="G94" s="13" t="s">
        <v>205</v>
      </c>
      <c r="H94" s="14" t="s">
        <v>175</v>
      </c>
      <c r="I94" s="14" t="s">
        <v>206</v>
      </c>
      <c r="K94" s="15" t="s">
        <v>207</v>
      </c>
      <c r="O94" s="11" t="s">
        <v>172</v>
      </c>
    </row>
    <row r="95" spans="1:15" hidden="1" x14ac:dyDescent="0.25">
      <c r="A95" s="11" t="s">
        <v>134</v>
      </c>
      <c r="D95" s="12" t="s">
        <v>173</v>
      </c>
      <c r="G95" s="13" t="s">
        <v>208</v>
      </c>
      <c r="H95" s="14" t="s">
        <v>175</v>
      </c>
      <c r="I95" s="14" t="s">
        <v>209</v>
      </c>
      <c r="K95" s="15" t="s">
        <v>210</v>
      </c>
      <c r="O95" s="11" t="s">
        <v>172</v>
      </c>
    </row>
    <row r="96" spans="1:15" hidden="1" x14ac:dyDescent="0.25">
      <c r="A96" s="11" t="s">
        <v>134</v>
      </c>
      <c r="D96" s="12" t="s">
        <v>168</v>
      </c>
      <c r="G96" s="13" t="s">
        <v>169</v>
      </c>
      <c r="H96" s="14" t="s">
        <v>168</v>
      </c>
      <c r="I96" s="14" t="s">
        <v>170</v>
      </c>
      <c r="K96" s="15" t="s">
        <v>171</v>
      </c>
      <c r="O96" s="11" t="s">
        <v>172</v>
      </c>
    </row>
    <row r="97" spans="1:15" hidden="1" x14ac:dyDescent="0.25">
      <c r="A97" s="11" t="s">
        <v>134</v>
      </c>
      <c r="D97" s="12" t="s">
        <v>173</v>
      </c>
      <c r="G97" s="13" t="s">
        <v>214</v>
      </c>
      <c r="H97" s="14" t="s">
        <v>175</v>
      </c>
      <c r="I97" s="14" t="s">
        <v>215</v>
      </c>
      <c r="K97" s="15" t="s">
        <v>216</v>
      </c>
      <c r="O97" s="11" t="s">
        <v>172</v>
      </c>
    </row>
    <row r="98" spans="1:15" hidden="1" x14ac:dyDescent="0.25">
      <c r="A98" s="11" t="s">
        <v>134</v>
      </c>
      <c r="D98" s="12" t="s">
        <v>173</v>
      </c>
      <c r="G98" s="13" t="s">
        <v>217</v>
      </c>
      <c r="H98" s="14" t="s">
        <v>175</v>
      </c>
      <c r="I98" s="14" t="s">
        <v>218</v>
      </c>
      <c r="K98" s="15" t="s">
        <v>219</v>
      </c>
      <c r="O98" s="11" t="s">
        <v>172</v>
      </c>
    </row>
    <row r="99" spans="1:15" hidden="1" x14ac:dyDescent="0.25">
      <c r="A99" s="11" t="s">
        <v>134</v>
      </c>
      <c r="D99" s="12" t="s">
        <v>173</v>
      </c>
      <c r="G99" s="13" t="s">
        <v>220</v>
      </c>
      <c r="H99" s="14" t="s">
        <v>175</v>
      </c>
      <c r="I99" s="14" t="s">
        <v>221</v>
      </c>
      <c r="K99" s="15" t="s">
        <v>222</v>
      </c>
      <c r="O99" s="11" t="s">
        <v>172</v>
      </c>
    </row>
    <row r="100" spans="1:15" hidden="1" x14ac:dyDescent="0.25">
      <c r="A100" s="11" t="s">
        <v>134</v>
      </c>
      <c r="D100" s="12" t="s">
        <v>173</v>
      </c>
      <c r="G100" s="13" t="s">
        <v>223</v>
      </c>
      <c r="H100" s="14" t="s">
        <v>175</v>
      </c>
      <c r="I100" s="14" t="s">
        <v>224</v>
      </c>
      <c r="K100" s="15" t="s">
        <v>225</v>
      </c>
      <c r="O100" s="11" t="s">
        <v>172</v>
      </c>
    </row>
    <row r="101" spans="1:15" hidden="1" x14ac:dyDescent="0.25">
      <c r="A101" s="11" t="s">
        <v>134</v>
      </c>
      <c r="D101" s="12" t="s">
        <v>173</v>
      </c>
      <c r="G101" s="13" t="s">
        <v>226</v>
      </c>
      <c r="H101" s="14" t="s">
        <v>175</v>
      </c>
      <c r="I101" s="14" t="s">
        <v>227</v>
      </c>
      <c r="K101" s="15" t="s">
        <v>228</v>
      </c>
      <c r="O101" s="11" t="s">
        <v>172</v>
      </c>
    </row>
    <row r="102" spans="1:15" hidden="1" x14ac:dyDescent="0.25">
      <c r="A102" s="11" t="s">
        <v>134</v>
      </c>
      <c r="D102" s="12" t="s">
        <v>173</v>
      </c>
      <c r="G102" s="13" t="s">
        <v>229</v>
      </c>
      <c r="H102" s="14" t="s">
        <v>175</v>
      </c>
      <c r="I102" s="14" t="s">
        <v>230</v>
      </c>
      <c r="K102" s="15" t="s">
        <v>231</v>
      </c>
      <c r="O102" s="11" t="s">
        <v>172</v>
      </c>
    </row>
    <row r="103" spans="1:15" hidden="1" x14ac:dyDescent="0.25">
      <c r="A103" s="11" t="s">
        <v>134</v>
      </c>
      <c r="D103" s="12" t="s">
        <v>168</v>
      </c>
      <c r="G103" s="13" t="s">
        <v>169</v>
      </c>
      <c r="H103" s="14" t="s">
        <v>168</v>
      </c>
      <c r="I103" s="14" t="s">
        <v>170</v>
      </c>
      <c r="K103" s="15" t="s">
        <v>171</v>
      </c>
      <c r="O103" s="11" t="s">
        <v>172</v>
      </c>
    </row>
    <row r="104" spans="1:15" hidden="1" x14ac:dyDescent="0.25">
      <c r="A104" s="11" t="s">
        <v>134</v>
      </c>
      <c r="D104" s="12" t="s">
        <v>173</v>
      </c>
      <c r="G104" s="13" t="s">
        <v>235</v>
      </c>
      <c r="H104" s="14" t="s">
        <v>175</v>
      </c>
      <c r="I104" s="14" t="s">
        <v>236</v>
      </c>
      <c r="K104" s="15" t="s">
        <v>237</v>
      </c>
      <c r="O104" s="11" t="s">
        <v>172</v>
      </c>
    </row>
    <row r="105" spans="1:15" hidden="1" x14ac:dyDescent="0.25">
      <c r="A105" s="11" t="s">
        <v>134</v>
      </c>
      <c r="D105" s="12" t="s">
        <v>173</v>
      </c>
      <c r="G105" s="13" t="s">
        <v>238</v>
      </c>
      <c r="H105" s="14" t="s">
        <v>175</v>
      </c>
      <c r="I105" s="14" t="s">
        <v>239</v>
      </c>
      <c r="K105" s="15" t="s">
        <v>240</v>
      </c>
      <c r="O105" s="11" t="s">
        <v>172</v>
      </c>
    </row>
    <row r="106" spans="1:15" hidden="1" x14ac:dyDescent="0.25">
      <c r="A106" s="11" t="s">
        <v>134</v>
      </c>
      <c r="D106" s="12" t="s">
        <v>173</v>
      </c>
      <c r="G106" s="13" t="s">
        <v>241</v>
      </c>
      <c r="H106" s="14" t="s">
        <v>175</v>
      </c>
      <c r="I106" s="14" t="s">
        <v>242</v>
      </c>
      <c r="K106" s="15" t="s">
        <v>243</v>
      </c>
      <c r="O106" s="11" t="s">
        <v>172</v>
      </c>
    </row>
    <row r="107" spans="1:15" hidden="1" x14ac:dyDescent="0.25">
      <c r="A107" s="11" t="s">
        <v>134</v>
      </c>
      <c r="D107" s="12" t="s">
        <v>173</v>
      </c>
      <c r="G107" s="13" t="s">
        <v>244</v>
      </c>
      <c r="H107" s="14" t="s">
        <v>175</v>
      </c>
      <c r="I107" s="14" t="s">
        <v>245</v>
      </c>
      <c r="K107" s="15" t="s">
        <v>246</v>
      </c>
      <c r="O107" s="11" t="s">
        <v>172</v>
      </c>
    </row>
    <row r="108" spans="1:15" hidden="1" x14ac:dyDescent="0.25">
      <c r="A108" s="11" t="s">
        <v>134</v>
      </c>
      <c r="D108" s="12" t="s">
        <v>173</v>
      </c>
      <c r="G108" s="13" t="s">
        <v>247</v>
      </c>
      <c r="H108" s="14" t="s">
        <v>175</v>
      </c>
      <c r="I108" s="14" t="s">
        <v>248</v>
      </c>
      <c r="K108" s="15" t="s">
        <v>249</v>
      </c>
      <c r="O108" s="11" t="s">
        <v>172</v>
      </c>
    </row>
    <row r="109" spans="1:15" hidden="1" x14ac:dyDescent="0.25">
      <c r="A109" s="11" t="s">
        <v>134</v>
      </c>
      <c r="D109" s="12" t="s">
        <v>173</v>
      </c>
      <c r="G109" s="13" t="s">
        <v>250</v>
      </c>
      <c r="H109" s="14" t="s">
        <v>175</v>
      </c>
      <c r="I109" s="14" t="s">
        <v>251</v>
      </c>
      <c r="K109" s="15" t="s">
        <v>252</v>
      </c>
      <c r="O109" s="11" t="s">
        <v>172</v>
      </c>
    </row>
    <row r="110" spans="1:15" hidden="1" x14ac:dyDescent="0.25">
      <c r="A110" s="11" t="s">
        <v>134</v>
      </c>
      <c r="D110" s="12" t="s">
        <v>168</v>
      </c>
      <c r="G110" s="13" t="s">
        <v>169</v>
      </c>
      <c r="H110" s="14" t="s">
        <v>168</v>
      </c>
      <c r="I110" s="14" t="s">
        <v>170</v>
      </c>
      <c r="K110" s="15" t="s">
        <v>171</v>
      </c>
      <c r="O110" s="11" t="s">
        <v>172</v>
      </c>
    </row>
    <row r="111" spans="1:15" hidden="1" x14ac:dyDescent="0.25">
      <c r="A111" s="11" t="s">
        <v>134</v>
      </c>
      <c r="D111" s="12" t="s">
        <v>173</v>
      </c>
      <c r="G111" s="13" t="s">
        <v>256</v>
      </c>
      <c r="H111" s="14" t="s">
        <v>175</v>
      </c>
      <c r="I111" s="14" t="s">
        <v>257</v>
      </c>
      <c r="K111" s="15" t="s">
        <v>258</v>
      </c>
      <c r="O111" s="11" t="s">
        <v>172</v>
      </c>
    </row>
    <row r="112" spans="1:15" hidden="1" x14ac:dyDescent="0.25">
      <c r="A112" s="11" t="s">
        <v>134</v>
      </c>
      <c r="D112" s="12" t="s">
        <v>173</v>
      </c>
      <c r="G112" s="13" t="s">
        <v>259</v>
      </c>
      <c r="H112" s="14" t="s">
        <v>175</v>
      </c>
      <c r="I112" s="14" t="s">
        <v>260</v>
      </c>
      <c r="K112" s="15" t="s">
        <v>261</v>
      </c>
      <c r="O112" s="11" t="s">
        <v>172</v>
      </c>
    </row>
    <row r="113" spans="1:15" hidden="1" x14ac:dyDescent="0.25">
      <c r="A113" s="11" t="s">
        <v>134</v>
      </c>
      <c r="D113" s="12" t="s">
        <v>173</v>
      </c>
      <c r="G113" s="13" t="s">
        <v>262</v>
      </c>
      <c r="H113" s="14" t="s">
        <v>175</v>
      </c>
      <c r="I113" s="14" t="s">
        <v>263</v>
      </c>
      <c r="K113" s="15" t="s">
        <v>264</v>
      </c>
      <c r="O113" s="11" t="s">
        <v>172</v>
      </c>
    </row>
    <row r="114" spans="1:15" hidden="1" x14ac:dyDescent="0.25">
      <c r="A114" s="11" t="s">
        <v>134</v>
      </c>
      <c r="D114" s="12" t="s">
        <v>173</v>
      </c>
      <c r="G114" s="13" t="s">
        <v>265</v>
      </c>
      <c r="H114" s="14" t="s">
        <v>175</v>
      </c>
      <c r="I114" s="14" t="s">
        <v>266</v>
      </c>
      <c r="K114" s="15" t="s">
        <v>267</v>
      </c>
      <c r="O114" s="11" t="s">
        <v>172</v>
      </c>
    </row>
    <row r="115" spans="1:15" hidden="1" x14ac:dyDescent="0.25">
      <c r="A115" s="11" t="s">
        <v>134</v>
      </c>
      <c r="D115" s="12" t="s">
        <v>173</v>
      </c>
      <c r="G115" s="13" t="s">
        <v>268</v>
      </c>
      <c r="H115" s="14" t="s">
        <v>175</v>
      </c>
      <c r="I115" s="14" t="s">
        <v>269</v>
      </c>
      <c r="K115" s="15" t="s">
        <v>270</v>
      </c>
      <c r="O115" s="11" t="s">
        <v>172</v>
      </c>
    </row>
    <row r="116" spans="1:15" hidden="1" x14ac:dyDescent="0.25">
      <c r="A116" s="11" t="s">
        <v>134</v>
      </c>
      <c r="D116" s="12" t="s">
        <v>173</v>
      </c>
      <c r="G116" s="13" t="s">
        <v>271</v>
      </c>
      <c r="H116" s="14" t="s">
        <v>175</v>
      </c>
      <c r="I116" s="14" t="s">
        <v>272</v>
      </c>
      <c r="K116" s="15" t="s">
        <v>273</v>
      </c>
      <c r="O116" s="11" t="s">
        <v>172</v>
      </c>
    </row>
    <row r="117" spans="1:15" hidden="1" x14ac:dyDescent="0.25">
      <c r="A117" s="11" t="s">
        <v>134</v>
      </c>
      <c r="H117" s="14" t="s">
        <v>110</v>
      </c>
      <c r="I117" s="14" t="s">
        <v>110</v>
      </c>
      <c r="K117" s="15" t="s">
        <v>2860</v>
      </c>
    </row>
    <row r="118" spans="1:15" hidden="1" x14ac:dyDescent="0.25">
      <c r="A118" s="11" t="s">
        <v>134</v>
      </c>
      <c r="H118" s="14" t="s">
        <v>110</v>
      </c>
      <c r="I118" s="14" t="s">
        <v>110</v>
      </c>
      <c r="K118" s="15" t="s">
        <v>2861</v>
      </c>
    </row>
    <row r="119" spans="1:15" hidden="1" x14ac:dyDescent="0.25">
      <c r="A119" s="11" t="s">
        <v>134</v>
      </c>
      <c r="H119" s="14" t="s">
        <v>110</v>
      </c>
      <c r="I119" s="14" t="s">
        <v>110</v>
      </c>
      <c r="K119" s="15" t="s">
        <v>2862</v>
      </c>
    </row>
    <row r="120" spans="1:15" hidden="1" x14ac:dyDescent="0.25">
      <c r="A120" s="11" t="s">
        <v>134</v>
      </c>
      <c r="H120" s="14" t="s">
        <v>110</v>
      </c>
      <c r="I120" s="14" t="s">
        <v>110</v>
      </c>
      <c r="K120" s="15" t="s">
        <v>2884</v>
      </c>
    </row>
    <row r="121" spans="1:15" hidden="1" x14ac:dyDescent="0.25">
      <c r="A121" s="11" t="s">
        <v>134</v>
      </c>
      <c r="H121" s="14" t="s">
        <v>110</v>
      </c>
      <c r="I121" s="14" t="s">
        <v>110</v>
      </c>
      <c r="K121" s="15" t="s">
        <v>2885</v>
      </c>
    </row>
    <row r="122" spans="1:15" hidden="1" x14ac:dyDescent="0.25">
      <c r="A122" s="11" t="s">
        <v>134</v>
      </c>
      <c r="H122" s="14" t="s">
        <v>110</v>
      </c>
      <c r="I122" s="14" t="s">
        <v>110</v>
      </c>
      <c r="K122" s="15" t="s">
        <v>2886</v>
      </c>
    </row>
    <row r="123" spans="1:15" hidden="1" x14ac:dyDescent="0.25">
      <c r="A123" s="11" t="s">
        <v>134</v>
      </c>
      <c r="H123" s="14" t="s">
        <v>110</v>
      </c>
      <c r="I123" s="14" t="s">
        <v>110</v>
      </c>
      <c r="K123" s="15" t="s">
        <v>2887</v>
      </c>
    </row>
    <row r="124" spans="1:15" hidden="1" x14ac:dyDescent="0.25">
      <c r="A124" s="11" t="s">
        <v>134</v>
      </c>
      <c r="H124" s="14" t="s">
        <v>110</v>
      </c>
      <c r="I124" s="14" t="s">
        <v>110</v>
      </c>
      <c r="K124" s="15" t="s">
        <v>2888</v>
      </c>
    </row>
    <row r="125" spans="1:15" hidden="1" x14ac:dyDescent="0.25">
      <c r="A125" s="11" t="s">
        <v>134</v>
      </c>
      <c r="H125" s="14" t="s">
        <v>110</v>
      </c>
      <c r="I125" s="14" t="s">
        <v>110</v>
      </c>
      <c r="K125" s="15" t="s">
        <v>2889</v>
      </c>
    </row>
    <row r="126" spans="1:15" hidden="1" x14ac:dyDescent="0.25">
      <c r="A126" s="11" t="s">
        <v>134</v>
      </c>
      <c r="H126" s="14" t="s">
        <v>110</v>
      </c>
      <c r="I126" s="14" t="s">
        <v>110</v>
      </c>
      <c r="K126" s="15" t="s">
        <v>2890</v>
      </c>
    </row>
    <row r="127" spans="1:15" hidden="1" x14ac:dyDescent="0.25">
      <c r="A127" s="11" t="s">
        <v>134</v>
      </c>
      <c r="H127" s="14" t="s">
        <v>110</v>
      </c>
      <c r="I127" s="14" t="s">
        <v>110</v>
      </c>
      <c r="K127" s="15" t="s">
        <v>2891</v>
      </c>
    </row>
    <row r="128" spans="1:15" hidden="1" x14ac:dyDescent="0.25">
      <c r="A128" s="11" t="s">
        <v>134</v>
      </c>
      <c r="H128" s="14" t="s">
        <v>110</v>
      </c>
      <c r="I128" s="14" t="s">
        <v>110</v>
      </c>
      <c r="K128" s="15" t="s">
        <v>2892</v>
      </c>
    </row>
    <row r="129" spans="1:11" hidden="1" x14ac:dyDescent="0.25">
      <c r="A129" s="11" t="s">
        <v>134</v>
      </c>
      <c r="H129" s="14" t="s">
        <v>110</v>
      </c>
      <c r="I129" s="14" t="s">
        <v>110</v>
      </c>
      <c r="K129" s="15" t="s">
        <v>2893</v>
      </c>
    </row>
    <row r="130" spans="1:11" hidden="1" x14ac:dyDescent="0.25">
      <c r="A130" s="11" t="s">
        <v>134</v>
      </c>
      <c r="H130" s="14" t="s">
        <v>110</v>
      </c>
      <c r="I130" s="14" t="s">
        <v>110</v>
      </c>
      <c r="K130" s="15" t="s">
        <v>3236</v>
      </c>
    </row>
    <row r="131" spans="1:11" hidden="1" x14ac:dyDescent="0.25">
      <c r="A131" s="11" t="s">
        <v>134</v>
      </c>
      <c r="H131" s="14" t="s">
        <v>110</v>
      </c>
      <c r="I131" s="14" t="s">
        <v>110</v>
      </c>
      <c r="K131" s="15" t="s">
        <v>645</v>
      </c>
    </row>
    <row r="132" spans="1:11" hidden="1" x14ac:dyDescent="0.25">
      <c r="A132" s="11" t="s">
        <v>134</v>
      </c>
      <c r="H132" s="14" t="s">
        <v>110</v>
      </c>
      <c r="I132" s="14" t="s">
        <v>110</v>
      </c>
      <c r="K132" s="15" t="s">
        <v>3241</v>
      </c>
    </row>
    <row r="133" spans="1:11" hidden="1" x14ac:dyDescent="0.25">
      <c r="A133" s="11" t="s">
        <v>134</v>
      </c>
      <c r="H133" s="14" t="s">
        <v>110</v>
      </c>
      <c r="I133" s="14" t="s">
        <v>110</v>
      </c>
      <c r="K133" s="15" t="s">
        <v>3242</v>
      </c>
    </row>
    <row r="134" spans="1:11" hidden="1" x14ac:dyDescent="0.25">
      <c r="A134" s="11" t="s">
        <v>134</v>
      </c>
      <c r="H134" s="14" t="s">
        <v>110</v>
      </c>
      <c r="I134" s="14" t="s">
        <v>110</v>
      </c>
      <c r="K134" s="15" t="s">
        <v>3243</v>
      </c>
    </row>
    <row r="135" spans="1:11" hidden="1" x14ac:dyDescent="0.25">
      <c r="A135" s="11" t="s">
        <v>134</v>
      </c>
      <c r="H135" s="14" t="s">
        <v>110</v>
      </c>
      <c r="I135" s="14" t="s">
        <v>110</v>
      </c>
      <c r="K135" s="15" t="s">
        <v>3244</v>
      </c>
    </row>
    <row r="136" spans="1:11" hidden="1" x14ac:dyDescent="0.25">
      <c r="A136" s="11" t="s">
        <v>134</v>
      </c>
      <c r="H136" s="14" t="s">
        <v>110</v>
      </c>
      <c r="I136" s="14" t="s">
        <v>110</v>
      </c>
      <c r="K136" s="15" t="s">
        <v>3245</v>
      </c>
    </row>
    <row r="137" spans="1:11" hidden="1" x14ac:dyDescent="0.25">
      <c r="A137" s="11" t="s">
        <v>134</v>
      </c>
      <c r="H137" s="14" t="s">
        <v>110</v>
      </c>
      <c r="I137" s="14" t="s">
        <v>110</v>
      </c>
      <c r="K137" s="15" t="s">
        <v>3246</v>
      </c>
    </row>
    <row r="138" spans="1:11" hidden="1" x14ac:dyDescent="0.25">
      <c r="A138" s="11" t="s">
        <v>134</v>
      </c>
      <c r="H138" s="14" t="s">
        <v>110</v>
      </c>
      <c r="I138" s="14" t="s">
        <v>110</v>
      </c>
      <c r="K138" s="15" t="s">
        <v>3250</v>
      </c>
    </row>
    <row r="139" spans="1:11" hidden="1" x14ac:dyDescent="0.25">
      <c r="A139" s="11" t="s">
        <v>134</v>
      </c>
      <c r="H139" s="14" t="s">
        <v>110</v>
      </c>
      <c r="I139" s="14" t="s">
        <v>110</v>
      </c>
      <c r="K139" s="15" t="s">
        <v>3251</v>
      </c>
    </row>
    <row r="140" spans="1:11" hidden="1" x14ac:dyDescent="0.25">
      <c r="A140" s="11" t="s">
        <v>134</v>
      </c>
      <c r="H140" s="14" t="s">
        <v>110</v>
      </c>
      <c r="I140" s="14" t="s">
        <v>110</v>
      </c>
      <c r="K140" s="15" t="s">
        <v>3252</v>
      </c>
    </row>
    <row r="141" spans="1:11" hidden="1" x14ac:dyDescent="0.25">
      <c r="A141" s="11" t="s">
        <v>134</v>
      </c>
      <c r="H141" s="14" t="s">
        <v>110</v>
      </c>
      <c r="I141" s="14" t="s">
        <v>110</v>
      </c>
      <c r="K141" s="15" t="s">
        <v>3255</v>
      </c>
    </row>
    <row r="142" spans="1:11" hidden="1" x14ac:dyDescent="0.25">
      <c r="A142" s="11" t="s">
        <v>134</v>
      </c>
      <c r="H142" s="14" t="s">
        <v>110</v>
      </c>
      <c r="I142" s="14" t="s">
        <v>110</v>
      </c>
      <c r="K142" s="15" t="s">
        <v>3256</v>
      </c>
    </row>
    <row r="143" spans="1:11" hidden="1" x14ac:dyDescent="0.25">
      <c r="A143" s="11" t="s">
        <v>134</v>
      </c>
      <c r="H143" s="14" t="s">
        <v>110</v>
      </c>
      <c r="I143" s="14" t="s">
        <v>110</v>
      </c>
      <c r="K143" s="15" t="s">
        <v>3259</v>
      </c>
    </row>
    <row r="144" spans="1:11" hidden="1" x14ac:dyDescent="0.25">
      <c r="A144" s="11" t="s">
        <v>134</v>
      </c>
      <c r="H144" s="14" t="s">
        <v>110</v>
      </c>
      <c r="I144" s="14" t="s">
        <v>110</v>
      </c>
      <c r="K144" s="15" t="s">
        <v>3262</v>
      </c>
    </row>
    <row r="145" spans="1:15" hidden="1" x14ac:dyDescent="0.25">
      <c r="A145" s="11" t="s">
        <v>134</v>
      </c>
      <c r="B145" s="11" t="s">
        <v>134</v>
      </c>
      <c r="C145" s="12" t="s">
        <v>21</v>
      </c>
      <c r="D145" s="12" t="s">
        <v>2</v>
      </c>
      <c r="E145" s="13" t="s">
        <v>2</v>
      </c>
      <c r="F145" s="111" t="s">
        <v>2</v>
      </c>
      <c r="G145" s="13" t="s">
        <v>2</v>
      </c>
      <c r="H145" s="14" t="s">
        <v>2</v>
      </c>
      <c r="I145" s="14" t="s">
        <v>21</v>
      </c>
      <c r="J145" s="12" t="s">
        <v>21</v>
      </c>
      <c r="K145" s="15" t="s">
        <v>21</v>
      </c>
      <c r="L145" s="16" t="s">
        <v>21</v>
      </c>
      <c r="M145" s="16" t="s">
        <v>21</v>
      </c>
      <c r="N145" s="58" t="s">
        <v>4</v>
      </c>
      <c r="O145" s="11" t="s">
        <v>21</v>
      </c>
    </row>
    <row r="146" spans="1:15" hidden="1" x14ac:dyDescent="0.25">
      <c r="A146" s="11" t="s">
        <v>134</v>
      </c>
      <c r="B146" s="11" t="s">
        <v>134</v>
      </c>
      <c r="C146" s="12" t="s">
        <v>134</v>
      </c>
      <c r="D146" s="12" t="s">
        <v>2</v>
      </c>
      <c r="E146" s="13" t="s">
        <v>2</v>
      </c>
      <c r="F146" s="111" t="s">
        <v>2</v>
      </c>
      <c r="G146" s="13" t="s">
        <v>2</v>
      </c>
      <c r="H146" s="14" t="s">
        <v>2</v>
      </c>
      <c r="I146" s="14" t="s">
        <v>21</v>
      </c>
      <c r="J146" s="12" t="s">
        <v>21</v>
      </c>
      <c r="K146" s="15" t="s">
        <v>21</v>
      </c>
      <c r="L146" s="16" t="s">
        <v>21</v>
      </c>
      <c r="M146" s="16" t="s">
        <v>23</v>
      </c>
      <c r="N146" s="58" t="s">
        <v>21</v>
      </c>
      <c r="O146" s="11" t="s">
        <v>23</v>
      </c>
    </row>
    <row r="147" spans="1:15" hidden="1" x14ac:dyDescent="0.25">
      <c r="A147" s="11" t="s">
        <v>134</v>
      </c>
      <c r="B147" s="11" t="s">
        <v>134</v>
      </c>
      <c r="C147" s="12" t="s">
        <v>134</v>
      </c>
      <c r="D147" s="12" t="s">
        <v>2</v>
      </c>
      <c r="E147" s="13" t="s">
        <v>2</v>
      </c>
      <c r="F147" s="111" t="s">
        <v>2</v>
      </c>
      <c r="G147" s="13" t="s">
        <v>2</v>
      </c>
      <c r="H147" s="14" t="s">
        <v>2</v>
      </c>
      <c r="I147" s="14" t="s">
        <v>21</v>
      </c>
      <c r="J147" s="12" t="s">
        <v>21</v>
      </c>
      <c r="K147" s="15" t="s">
        <v>21</v>
      </c>
      <c r="L147" s="16" t="s">
        <v>21</v>
      </c>
      <c r="M147" s="16" t="s">
        <v>21</v>
      </c>
      <c r="N147" s="58" t="s">
        <v>21</v>
      </c>
      <c r="O147" s="11" t="s">
        <v>21</v>
      </c>
    </row>
    <row r="148" spans="1:15" hidden="1" x14ac:dyDescent="0.25">
      <c r="A148" s="11" t="s">
        <v>134</v>
      </c>
      <c r="B148" s="11" t="s">
        <v>134</v>
      </c>
      <c r="C148" s="12" t="s">
        <v>134</v>
      </c>
      <c r="D148" s="12" t="s">
        <v>2</v>
      </c>
      <c r="E148" s="13" t="s">
        <v>2</v>
      </c>
      <c r="F148" s="111" t="s">
        <v>2</v>
      </c>
      <c r="G148" s="13" t="s">
        <v>2</v>
      </c>
      <c r="H148" s="14" t="s">
        <v>2</v>
      </c>
      <c r="I148" s="14" t="s">
        <v>21</v>
      </c>
      <c r="J148" s="12" t="s">
        <v>21</v>
      </c>
      <c r="K148" s="15" t="s">
        <v>21</v>
      </c>
      <c r="L148" s="16" t="s">
        <v>21</v>
      </c>
      <c r="M148" s="16" t="s">
        <v>23</v>
      </c>
      <c r="N148" s="58" t="s">
        <v>21</v>
      </c>
      <c r="O148" s="11" t="s">
        <v>23</v>
      </c>
    </row>
    <row r="149" spans="1:15" hidden="1" x14ac:dyDescent="0.25">
      <c r="A149" s="11" t="s">
        <v>134</v>
      </c>
      <c r="B149" s="11" t="s">
        <v>134</v>
      </c>
      <c r="C149" s="12" t="s">
        <v>134</v>
      </c>
      <c r="D149" s="12" t="s">
        <v>2</v>
      </c>
      <c r="E149" s="13" t="s">
        <v>2</v>
      </c>
      <c r="F149" s="111" t="s">
        <v>2</v>
      </c>
      <c r="G149" s="13" t="s">
        <v>2</v>
      </c>
      <c r="H149" s="14" t="s">
        <v>2</v>
      </c>
      <c r="I149" s="14" t="s">
        <v>21</v>
      </c>
      <c r="J149" s="12" t="s">
        <v>21</v>
      </c>
      <c r="K149" s="15" t="s">
        <v>21</v>
      </c>
      <c r="L149" s="16" t="s">
        <v>21</v>
      </c>
      <c r="M149" s="16" t="s">
        <v>21</v>
      </c>
      <c r="N149" s="58" t="s">
        <v>21</v>
      </c>
      <c r="O149" s="11" t="s">
        <v>21</v>
      </c>
    </row>
    <row r="150" spans="1:15" hidden="1" x14ac:dyDescent="0.25">
      <c r="A150" s="11" t="s">
        <v>134</v>
      </c>
      <c r="B150" s="11" t="s">
        <v>134</v>
      </c>
      <c r="C150" s="12" t="s">
        <v>134</v>
      </c>
      <c r="D150" s="12" t="s">
        <v>2</v>
      </c>
      <c r="E150" s="13" t="s">
        <v>2</v>
      </c>
      <c r="F150" s="111" t="s">
        <v>2</v>
      </c>
      <c r="G150" s="13" t="s">
        <v>2</v>
      </c>
      <c r="H150" s="14" t="s">
        <v>2</v>
      </c>
      <c r="I150" s="14" t="s">
        <v>21</v>
      </c>
      <c r="J150" s="12" t="s">
        <v>21</v>
      </c>
      <c r="K150" s="15" t="s">
        <v>21</v>
      </c>
      <c r="L150" s="16" t="s">
        <v>21</v>
      </c>
      <c r="M150" s="16" t="s">
        <v>23</v>
      </c>
      <c r="N150" s="58" t="s">
        <v>21</v>
      </c>
      <c r="O150" s="11" t="s">
        <v>23</v>
      </c>
    </row>
    <row r="151" spans="1:15" hidden="1" x14ac:dyDescent="0.25">
      <c r="A151" s="11" t="s">
        <v>134</v>
      </c>
      <c r="B151" s="11" t="s">
        <v>134</v>
      </c>
      <c r="C151" s="12" t="s">
        <v>134</v>
      </c>
      <c r="D151" s="12" t="s">
        <v>2</v>
      </c>
      <c r="E151" s="13" t="s">
        <v>2</v>
      </c>
      <c r="F151" s="111" t="s">
        <v>2</v>
      </c>
      <c r="G151" s="13" t="s">
        <v>2</v>
      </c>
      <c r="H151" s="14" t="s">
        <v>2</v>
      </c>
      <c r="I151" s="14" t="s">
        <v>21</v>
      </c>
      <c r="J151" s="12" t="s">
        <v>21</v>
      </c>
      <c r="K151" s="15" t="s">
        <v>21</v>
      </c>
      <c r="L151" s="16" t="s">
        <v>21</v>
      </c>
      <c r="M151" s="16" t="s">
        <v>21</v>
      </c>
      <c r="N151" s="58" t="s">
        <v>21</v>
      </c>
      <c r="O151" s="11" t="s">
        <v>21</v>
      </c>
    </row>
    <row r="152" spans="1:15" hidden="1" x14ac:dyDescent="0.25">
      <c r="A152" s="11" t="s">
        <v>134</v>
      </c>
      <c r="B152" s="11" t="s">
        <v>134</v>
      </c>
      <c r="C152" s="12" t="s">
        <v>134</v>
      </c>
      <c r="D152" s="12" t="s">
        <v>2</v>
      </c>
      <c r="E152" s="13" t="s">
        <v>2</v>
      </c>
      <c r="F152" s="111" t="s">
        <v>2</v>
      </c>
      <c r="G152" s="13" t="s">
        <v>2</v>
      </c>
      <c r="H152" s="14" t="s">
        <v>2</v>
      </c>
      <c r="I152" s="14" t="s">
        <v>21</v>
      </c>
      <c r="J152" s="12" t="s">
        <v>21</v>
      </c>
      <c r="K152" s="15" t="s">
        <v>21</v>
      </c>
      <c r="L152" s="16" t="s">
        <v>21</v>
      </c>
      <c r="M152" s="16" t="s">
        <v>21</v>
      </c>
      <c r="N152" s="58" t="s">
        <v>21</v>
      </c>
      <c r="O152" s="11" t="s">
        <v>23</v>
      </c>
    </row>
    <row r="153" spans="1:15" hidden="1" x14ac:dyDescent="0.25">
      <c r="A153" s="11" t="s">
        <v>134</v>
      </c>
      <c r="B153" s="11" t="s">
        <v>134</v>
      </c>
      <c r="C153" s="12" t="s">
        <v>134</v>
      </c>
      <c r="D153" s="12" t="s">
        <v>2</v>
      </c>
      <c r="E153" s="13" t="s">
        <v>2</v>
      </c>
      <c r="F153" s="111" t="s">
        <v>2</v>
      </c>
      <c r="G153" s="13" t="s">
        <v>2</v>
      </c>
      <c r="H153" s="14" t="s">
        <v>2</v>
      </c>
      <c r="I153" s="14" t="s">
        <v>21</v>
      </c>
      <c r="J153" s="12" t="s">
        <v>21</v>
      </c>
      <c r="K153" s="15" t="s">
        <v>21</v>
      </c>
      <c r="L153" s="16" t="s">
        <v>21</v>
      </c>
      <c r="M153" s="16" t="s">
        <v>21</v>
      </c>
      <c r="N153" s="58" t="s">
        <v>21</v>
      </c>
      <c r="O153" s="11" t="s">
        <v>23</v>
      </c>
    </row>
    <row r="154" spans="1:15" hidden="1" x14ac:dyDescent="0.25">
      <c r="A154" s="11" t="s">
        <v>134</v>
      </c>
      <c r="B154" s="11" t="s">
        <v>134</v>
      </c>
      <c r="C154" s="12" t="s">
        <v>134</v>
      </c>
      <c r="D154" s="12" t="s">
        <v>2</v>
      </c>
      <c r="E154" s="13" t="s">
        <v>2</v>
      </c>
      <c r="F154" s="111" t="s">
        <v>2</v>
      </c>
      <c r="G154" s="13" t="s">
        <v>2</v>
      </c>
      <c r="H154" s="14" t="s">
        <v>2</v>
      </c>
      <c r="I154" s="14" t="s">
        <v>21</v>
      </c>
      <c r="J154" s="12" t="s">
        <v>21</v>
      </c>
      <c r="K154" s="15" t="s">
        <v>21</v>
      </c>
      <c r="L154" s="16" t="s">
        <v>21</v>
      </c>
      <c r="M154" s="16" t="s">
        <v>23</v>
      </c>
      <c r="N154" s="58" t="s">
        <v>21</v>
      </c>
      <c r="O154" s="11" t="s">
        <v>23</v>
      </c>
    </row>
    <row r="155" spans="1:15" hidden="1" x14ac:dyDescent="0.25">
      <c r="A155" s="11" t="s">
        <v>134</v>
      </c>
      <c r="B155" s="11" t="s">
        <v>134</v>
      </c>
      <c r="C155" s="12" t="s">
        <v>134</v>
      </c>
      <c r="D155" s="12" t="s">
        <v>2</v>
      </c>
      <c r="E155" s="13" t="s">
        <v>2</v>
      </c>
      <c r="F155" s="111" t="s">
        <v>2</v>
      </c>
      <c r="G155" s="13" t="s">
        <v>2</v>
      </c>
      <c r="H155" s="14" t="s">
        <v>2</v>
      </c>
      <c r="I155" s="14" t="s">
        <v>21</v>
      </c>
      <c r="J155" s="12" t="s">
        <v>21</v>
      </c>
      <c r="K155" s="15" t="s">
        <v>21</v>
      </c>
      <c r="L155" s="16" t="s">
        <v>21</v>
      </c>
      <c r="M155" s="16" t="s">
        <v>23</v>
      </c>
      <c r="N155" s="58" t="s">
        <v>21</v>
      </c>
      <c r="O155" s="11" t="s">
        <v>23</v>
      </c>
    </row>
    <row r="156" spans="1:15" hidden="1" x14ac:dyDescent="0.25">
      <c r="A156" s="11" t="s">
        <v>134</v>
      </c>
      <c r="B156" s="11" t="s">
        <v>134</v>
      </c>
      <c r="C156" s="12" t="s">
        <v>134</v>
      </c>
      <c r="D156" s="12" t="s">
        <v>2</v>
      </c>
      <c r="E156" s="13" t="s">
        <v>2</v>
      </c>
      <c r="F156" s="111" t="s">
        <v>2</v>
      </c>
      <c r="G156" s="13" t="s">
        <v>2</v>
      </c>
      <c r="H156" s="14" t="s">
        <v>2</v>
      </c>
      <c r="I156" s="14" t="s">
        <v>21</v>
      </c>
      <c r="J156" s="12" t="s">
        <v>21</v>
      </c>
      <c r="K156" s="15" t="s">
        <v>21</v>
      </c>
      <c r="L156" s="16" t="s">
        <v>21</v>
      </c>
      <c r="M156" s="16" t="s">
        <v>21</v>
      </c>
      <c r="N156" s="58" t="s">
        <v>21</v>
      </c>
      <c r="O156" s="11" t="s">
        <v>21</v>
      </c>
    </row>
    <row r="157" spans="1:15" hidden="1" x14ac:dyDescent="0.25">
      <c r="A157" s="11" t="s">
        <v>134</v>
      </c>
      <c r="B157" s="11" t="s">
        <v>134</v>
      </c>
      <c r="C157" s="12" t="s">
        <v>134</v>
      </c>
      <c r="D157" s="12" t="s">
        <v>2</v>
      </c>
      <c r="E157" s="13" t="s">
        <v>2</v>
      </c>
      <c r="F157" s="111" t="s">
        <v>2</v>
      </c>
      <c r="G157" s="13" t="s">
        <v>2</v>
      </c>
      <c r="H157" s="14" t="s">
        <v>2</v>
      </c>
      <c r="I157" s="14" t="s">
        <v>21</v>
      </c>
      <c r="J157" s="12" t="s">
        <v>21</v>
      </c>
      <c r="K157" s="15" t="s">
        <v>21</v>
      </c>
      <c r="L157" s="16" t="s">
        <v>21</v>
      </c>
      <c r="M157" s="16" t="s">
        <v>21</v>
      </c>
      <c r="N157" s="58" t="s">
        <v>21</v>
      </c>
      <c r="O157" s="11" t="s">
        <v>23</v>
      </c>
    </row>
    <row r="158" spans="1:15" hidden="1" x14ac:dyDescent="0.25">
      <c r="A158" s="11" t="s">
        <v>134</v>
      </c>
      <c r="B158" s="11" t="s">
        <v>134</v>
      </c>
      <c r="C158" s="12" t="s">
        <v>134</v>
      </c>
      <c r="D158" s="12" t="s">
        <v>2</v>
      </c>
      <c r="E158" s="13" t="s">
        <v>2</v>
      </c>
      <c r="F158" s="111" t="s">
        <v>2</v>
      </c>
      <c r="G158" s="13" t="s">
        <v>2</v>
      </c>
      <c r="H158" s="14" t="s">
        <v>2</v>
      </c>
      <c r="I158" s="14" t="s">
        <v>21</v>
      </c>
      <c r="J158" s="12" t="s">
        <v>21</v>
      </c>
      <c r="K158" s="15" t="s">
        <v>21</v>
      </c>
      <c r="L158" s="16" t="s">
        <v>21</v>
      </c>
      <c r="M158" s="16" t="s">
        <v>21</v>
      </c>
      <c r="N158" s="58" t="s">
        <v>21</v>
      </c>
      <c r="O158" s="11" t="s">
        <v>23</v>
      </c>
    </row>
    <row r="159" spans="1:15" hidden="1" x14ac:dyDescent="0.25">
      <c r="A159" s="11" t="s">
        <v>134</v>
      </c>
      <c r="B159" s="11" t="s">
        <v>134</v>
      </c>
      <c r="C159" s="12" t="s">
        <v>134</v>
      </c>
      <c r="D159" s="12" t="s">
        <v>2</v>
      </c>
      <c r="E159" s="13" t="s">
        <v>2</v>
      </c>
      <c r="F159" s="111" t="s">
        <v>2</v>
      </c>
      <c r="G159" s="13" t="s">
        <v>2</v>
      </c>
      <c r="H159" s="14" t="s">
        <v>2</v>
      </c>
      <c r="I159" s="14" t="s">
        <v>21</v>
      </c>
      <c r="J159" s="12" t="s">
        <v>21</v>
      </c>
      <c r="K159" s="15" t="s">
        <v>21</v>
      </c>
      <c r="L159" s="16" t="s">
        <v>21</v>
      </c>
      <c r="M159" s="16" t="s">
        <v>23</v>
      </c>
      <c r="N159" s="58" t="s">
        <v>21</v>
      </c>
      <c r="O159" s="11" t="s">
        <v>23</v>
      </c>
    </row>
    <row r="160" spans="1:15" hidden="1" x14ac:dyDescent="0.25">
      <c r="A160" s="11" t="s">
        <v>21</v>
      </c>
      <c r="B160" s="11" t="s">
        <v>657</v>
      </c>
      <c r="C160" s="12" t="s">
        <v>42</v>
      </c>
      <c r="D160" s="12" t="s">
        <v>658</v>
      </c>
      <c r="E160" s="13">
        <v>1</v>
      </c>
      <c r="F160" s="111">
        <v>4112</v>
      </c>
      <c r="G160" s="13" t="s">
        <v>659</v>
      </c>
      <c r="H160" s="14" t="s">
        <v>274</v>
      </c>
      <c r="I160" s="14" t="s">
        <v>660</v>
      </c>
      <c r="J160" s="12" t="s">
        <v>661</v>
      </c>
      <c r="K160" s="15" t="s">
        <v>662</v>
      </c>
      <c r="O160" s="11" t="s">
        <v>3263</v>
      </c>
    </row>
    <row r="161" spans="1:15" hidden="1" x14ac:dyDescent="0.25">
      <c r="A161" s="11" t="s">
        <v>134</v>
      </c>
      <c r="B161" s="11" t="s">
        <v>134</v>
      </c>
      <c r="C161" s="12" t="s">
        <v>21</v>
      </c>
      <c r="D161" s="12" t="s">
        <v>2</v>
      </c>
      <c r="E161" s="13" t="s">
        <v>2</v>
      </c>
      <c r="F161" s="111" t="s">
        <v>2</v>
      </c>
      <c r="G161" s="13" t="s">
        <v>2</v>
      </c>
      <c r="H161" s="14" t="s">
        <v>2</v>
      </c>
      <c r="I161" s="14" t="s">
        <v>21</v>
      </c>
      <c r="J161" s="12" t="s">
        <v>21</v>
      </c>
      <c r="K161" s="15" t="s">
        <v>21</v>
      </c>
      <c r="L161" s="16" t="s">
        <v>21</v>
      </c>
      <c r="M161" s="16" t="s">
        <v>21</v>
      </c>
      <c r="N161" s="58" t="s">
        <v>4</v>
      </c>
      <c r="O161" s="11" t="s">
        <v>21</v>
      </c>
    </row>
    <row r="162" spans="1:15" hidden="1" x14ac:dyDescent="0.25">
      <c r="A162" s="11" t="s">
        <v>134</v>
      </c>
      <c r="D162" s="12" t="s">
        <v>168</v>
      </c>
      <c r="G162" s="13" t="s">
        <v>169</v>
      </c>
      <c r="H162" s="14" t="s">
        <v>168</v>
      </c>
      <c r="I162" s="14" t="s">
        <v>170</v>
      </c>
      <c r="K162" s="15" t="s">
        <v>171</v>
      </c>
      <c r="O162" s="11" t="s">
        <v>172</v>
      </c>
    </row>
    <row r="163" spans="1:15" hidden="1" x14ac:dyDescent="0.25">
      <c r="A163" s="11" t="s">
        <v>134</v>
      </c>
      <c r="D163" s="12" t="s">
        <v>173</v>
      </c>
      <c r="G163" s="13" t="s">
        <v>174</v>
      </c>
      <c r="H163" s="14" t="s">
        <v>175</v>
      </c>
      <c r="I163" s="14" t="s">
        <v>176</v>
      </c>
      <c r="K163" s="15" t="s">
        <v>177</v>
      </c>
      <c r="O163" s="11" t="s">
        <v>3263</v>
      </c>
    </row>
    <row r="164" spans="1:15" hidden="1" x14ac:dyDescent="0.25">
      <c r="A164" s="11" t="s">
        <v>134</v>
      </c>
      <c r="D164" s="12" t="s">
        <v>173</v>
      </c>
      <c r="G164" s="13" t="s">
        <v>178</v>
      </c>
      <c r="H164" s="14" t="s">
        <v>175</v>
      </c>
      <c r="I164" s="14" t="s">
        <v>179</v>
      </c>
      <c r="K164" s="15" t="s">
        <v>180</v>
      </c>
      <c r="O164" s="11" t="s">
        <v>3263</v>
      </c>
    </row>
    <row r="165" spans="1:15" hidden="1" x14ac:dyDescent="0.25">
      <c r="A165" s="11" t="s">
        <v>134</v>
      </c>
      <c r="D165" s="12" t="s">
        <v>173</v>
      </c>
      <c r="G165" s="13" t="s">
        <v>181</v>
      </c>
      <c r="H165" s="14" t="s">
        <v>175</v>
      </c>
      <c r="I165" s="14" t="s">
        <v>182</v>
      </c>
      <c r="K165" s="15" t="s">
        <v>183</v>
      </c>
      <c r="O165" s="11" t="s">
        <v>3263</v>
      </c>
    </row>
    <row r="166" spans="1:15" hidden="1" x14ac:dyDescent="0.25">
      <c r="A166" s="11" t="s">
        <v>134</v>
      </c>
      <c r="D166" s="12" t="s">
        <v>173</v>
      </c>
      <c r="G166" s="13" t="s">
        <v>184</v>
      </c>
      <c r="H166" s="14" t="s">
        <v>175</v>
      </c>
      <c r="I166" s="14" t="s">
        <v>185</v>
      </c>
      <c r="K166" s="15" t="s">
        <v>186</v>
      </c>
      <c r="O166" s="11" t="s">
        <v>3263</v>
      </c>
    </row>
    <row r="167" spans="1:15" hidden="1" x14ac:dyDescent="0.25">
      <c r="A167" s="11" t="s">
        <v>134</v>
      </c>
      <c r="D167" s="12" t="s">
        <v>173</v>
      </c>
      <c r="G167" s="13" t="s">
        <v>187</v>
      </c>
      <c r="H167" s="14" t="s">
        <v>175</v>
      </c>
      <c r="I167" s="14" t="s">
        <v>188</v>
      </c>
      <c r="K167" s="15" t="s">
        <v>189</v>
      </c>
      <c r="O167" s="11" t="s">
        <v>3263</v>
      </c>
    </row>
    <row r="168" spans="1:15" hidden="1" x14ac:dyDescent="0.25">
      <c r="A168" s="11" t="s">
        <v>134</v>
      </c>
      <c r="D168" s="12" t="s">
        <v>168</v>
      </c>
      <c r="G168" s="13" t="s">
        <v>169</v>
      </c>
      <c r="H168" s="14" t="s">
        <v>168</v>
      </c>
      <c r="I168" s="14" t="s">
        <v>170</v>
      </c>
      <c r="K168" s="15" t="s">
        <v>171</v>
      </c>
      <c r="O168" s="11" t="s">
        <v>172</v>
      </c>
    </row>
    <row r="169" spans="1:15" hidden="1" x14ac:dyDescent="0.25">
      <c r="A169" s="11" t="s">
        <v>134</v>
      </c>
      <c r="D169" s="12" t="s">
        <v>168</v>
      </c>
      <c r="G169" s="13" t="s">
        <v>169</v>
      </c>
      <c r="H169" s="14" t="s">
        <v>168</v>
      </c>
      <c r="I169" s="14" t="s">
        <v>170</v>
      </c>
      <c r="K169" s="15" t="s">
        <v>171</v>
      </c>
      <c r="O169" s="11" t="s">
        <v>172</v>
      </c>
    </row>
    <row r="170" spans="1:15" hidden="1" x14ac:dyDescent="0.25">
      <c r="A170" s="11" t="s">
        <v>134</v>
      </c>
      <c r="D170" s="12" t="s">
        <v>173</v>
      </c>
      <c r="G170" s="13" t="s">
        <v>196</v>
      </c>
      <c r="H170" s="14" t="s">
        <v>175</v>
      </c>
      <c r="I170" s="14" t="s">
        <v>197</v>
      </c>
      <c r="K170" s="15" t="s">
        <v>198</v>
      </c>
      <c r="O170" s="11" t="s">
        <v>3263</v>
      </c>
    </row>
    <row r="171" spans="1:15" hidden="1" x14ac:dyDescent="0.25">
      <c r="A171" s="11" t="s">
        <v>134</v>
      </c>
      <c r="D171" s="12" t="s">
        <v>173</v>
      </c>
      <c r="G171" s="13" t="s">
        <v>199</v>
      </c>
      <c r="H171" s="14" t="s">
        <v>175</v>
      </c>
      <c r="I171" s="14" t="s">
        <v>200</v>
      </c>
      <c r="K171" s="15" t="s">
        <v>201</v>
      </c>
      <c r="O171" s="11" t="s">
        <v>3263</v>
      </c>
    </row>
    <row r="172" spans="1:15" hidden="1" x14ac:dyDescent="0.25">
      <c r="A172" s="11" t="s">
        <v>134</v>
      </c>
      <c r="D172" s="12" t="s">
        <v>173</v>
      </c>
      <c r="G172" s="13" t="s">
        <v>202</v>
      </c>
      <c r="H172" s="14" t="s">
        <v>175</v>
      </c>
      <c r="I172" s="14" t="s">
        <v>203</v>
      </c>
      <c r="K172" s="15" t="s">
        <v>204</v>
      </c>
      <c r="O172" s="11" t="s">
        <v>3263</v>
      </c>
    </row>
    <row r="173" spans="1:15" hidden="1" x14ac:dyDescent="0.25">
      <c r="A173" s="11" t="s">
        <v>134</v>
      </c>
      <c r="D173" s="12" t="s">
        <v>173</v>
      </c>
      <c r="G173" s="13" t="s">
        <v>205</v>
      </c>
      <c r="H173" s="14" t="s">
        <v>175</v>
      </c>
      <c r="I173" s="14" t="s">
        <v>206</v>
      </c>
      <c r="K173" s="15" t="s">
        <v>207</v>
      </c>
      <c r="O173" s="11" t="s">
        <v>3263</v>
      </c>
    </row>
    <row r="174" spans="1:15" hidden="1" x14ac:dyDescent="0.25">
      <c r="A174" s="11" t="s">
        <v>134</v>
      </c>
      <c r="D174" s="12" t="s">
        <v>173</v>
      </c>
      <c r="G174" s="13" t="s">
        <v>208</v>
      </c>
      <c r="H174" s="14" t="s">
        <v>175</v>
      </c>
      <c r="I174" s="14" t="s">
        <v>209</v>
      </c>
      <c r="K174" s="15" t="s">
        <v>210</v>
      </c>
      <c r="O174" s="11" t="s">
        <v>3263</v>
      </c>
    </row>
    <row r="175" spans="1:15" hidden="1" x14ac:dyDescent="0.25">
      <c r="A175" s="11" t="s">
        <v>134</v>
      </c>
      <c r="D175" s="12" t="s">
        <v>168</v>
      </c>
      <c r="G175" s="13" t="s">
        <v>169</v>
      </c>
      <c r="H175" s="14" t="s">
        <v>168</v>
      </c>
      <c r="I175" s="14" t="s">
        <v>170</v>
      </c>
      <c r="K175" s="15" t="s">
        <v>171</v>
      </c>
      <c r="O175" s="11" t="s">
        <v>172</v>
      </c>
    </row>
    <row r="176" spans="1:15" hidden="1" x14ac:dyDescent="0.25">
      <c r="A176" s="11" t="s">
        <v>134</v>
      </c>
      <c r="D176" s="12" t="s">
        <v>173</v>
      </c>
      <c r="G176" s="13" t="s">
        <v>214</v>
      </c>
      <c r="H176" s="14" t="s">
        <v>175</v>
      </c>
      <c r="I176" s="14" t="s">
        <v>215</v>
      </c>
      <c r="K176" s="15" t="s">
        <v>216</v>
      </c>
      <c r="O176" s="11" t="s">
        <v>3263</v>
      </c>
    </row>
    <row r="177" spans="1:15" hidden="1" x14ac:dyDescent="0.25">
      <c r="A177" s="11" t="s">
        <v>134</v>
      </c>
      <c r="D177" s="12" t="s">
        <v>173</v>
      </c>
      <c r="G177" s="13" t="s">
        <v>217</v>
      </c>
      <c r="H177" s="14" t="s">
        <v>175</v>
      </c>
      <c r="I177" s="14" t="s">
        <v>218</v>
      </c>
      <c r="K177" s="15" t="s">
        <v>219</v>
      </c>
      <c r="O177" s="11" t="s">
        <v>3263</v>
      </c>
    </row>
    <row r="178" spans="1:15" hidden="1" x14ac:dyDescent="0.25">
      <c r="A178" s="11" t="s">
        <v>134</v>
      </c>
      <c r="D178" s="12" t="s">
        <v>173</v>
      </c>
      <c r="G178" s="13" t="s">
        <v>220</v>
      </c>
      <c r="H178" s="14" t="s">
        <v>175</v>
      </c>
      <c r="I178" s="14" t="s">
        <v>221</v>
      </c>
      <c r="K178" s="15" t="s">
        <v>222</v>
      </c>
      <c r="O178" s="11" t="s">
        <v>3263</v>
      </c>
    </row>
    <row r="179" spans="1:15" hidden="1" x14ac:dyDescent="0.25">
      <c r="A179" s="11" t="s">
        <v>134</v>
      </c>
      <c r="D179" s="12" t="s">
        <v>173</v>
      </c>
      <c r="G179" s="13" t="s">
        <v>223</v>
      </c>
      <c r="H179" s="14" t="s">
        <v>175</v>
      </c>
      <c r="I179" s="14" t="s">
        <v>224</v>
      </c>
      <c r="K179" s="15" t="s">
        <v>225</v>
      </c>
      <c r="O179" s="11" t="s">
        <v>3263</v>
      </c>
    </row>
    <row r="180" spans="1:15" hidden="1" x14ac:dyDescent="0.25">
      <c r="A180" s="11" t="s">
        <v>134</v>
      </c>
      <c r="D180" s="12" t="s">
        <v>173</v>
      </c>
      <c r="G180" s="13" t="s">
        <v>226</v>
      </c>
      <c r="H180" s="14" t="s">
        <v>175</v>
      </c>
      <c r="I180" s="14" t="s">
        <v>227</v>
      </c>
      <c r="K180" s="15" t="s">
        <v>228</v>
      </c>
      <c r="O180" s="11" t="s">
        <v>3263</v>
      </c>
    </row>
    <row r="181" spans="1:15" hidden="1" x14ac:dyDescent="0.25">
      <c r="A181" s="11" t="s">
        <v>134</v>
      </c>
      <c r="D181" s="12" t="s">
        <v>173</v>
      </c>
      <c r="G181" s="13" t="s">
        <v>229</v>
      </c>
      <c r="H181" s="14" t="s">
        <v>175</v>
      </c>
      <c r="I181" s="14" t="s">
        <v>230</v>
      </c>
      <c r="K181" s="15" t="s">
        <v>231</v>
      </c>
      <c r="O181" s="11" t="s">
        <v>3263</v>
      </c>
    </row>
    <row r="182" spans="1:15" hidden="1" x14ac:dyDescent="0.25">
      <c r="A182" s="11" t="s">
        <v>134</v>
      </c>
      <c r="D182" s="12" t="s">
        <v>168</v>
      </c>
      <c r="G182" s="13" t="s">
        <v>169</v>
      </c>
      <c r="H182" s="14" t="s">
        <v>168</v>
      </c>
      <c r="I182" s="14" t="s">
        <v>170</v>
      </c>
      <c r="K182" s="15" t="s">
        <v>171</v>
      </c>
      <c r="O182" s="11" t="s">
        <v>172</v>
      </c>
    </row>
    <row r="183" spans="1:15" hidden="1" x14ac:dyDescent="0.25">
      <c r="A183" s="11" t="s">
        <v>134</v>
      </c>
      <c r="D183" s="12" t="s">
        <v>173</v>
      </c>
      <c r="G183" s="13" t="s">
        <v>235</v>
      </c>
      <c r="H183" s="14" t="s">
        <v>175</v>
      </c>
      <c r="I183" s="14" t="s">
        <v>236</v>
      </c>
      <c r="K183" s="15" t="s">
        <v>237</v>
      </c>
      <c r="O183" s="11" t="s">
        <v>3263</v>
      </c>
    </row>
    <row r="184" spans="1:15" hidden="1" x14ac:dyDescent="0.25">
      <c r="A184" s="11" t="s">
        <v>134</v>
      </c>
      <c r="D184" s="12" t="s">
        <v>173</v>
      </c>
      <c r="G184" s="13" t="s">
        <v>238</v>
      </c>
      <c r="H184" s="14" t="s">
        <v>175</v>
      </c>
      <c r="I184" s="14" t="s">
        <v>239</v>
      </c>
      <c r="K184" s="15" t="s">
        <v>240</v>
      </c>
      <c r="O184" s="11" t="s">
        <v>3263</v>
      </c>
    </row>
    <row r="185" spans="1:15" hidden="1" x14ac:dyDescent="0.25">
      <c r="A185" s="11" t="s">
        <v>134</v>
      </c>
      <c r="D185" s="12" t="s">
        <v>173</v>
      </c>
      <c r="G185" s="13" t="s">
        <v>241</v>
      </c>
      <c r="H185" s="14" t="s">
        <v>175</v>
      </c>
      <c r="I185" s="14" t="s">
        <v>242</v>
      </c>
      <c r="K185" s="15" t="s">
        <v>243</v>
      </c>
      <c r="O185" s="11" t="s">
        <v>3263</v>
      </c>
    </row>
    <row r="186" spans="1:15" hidden="1" x14ac:dyDescent="0.25">
      <c r="A186" s="11" t="s">
        <v>134</v>
      </c>
      <c r="D186" s="12" t="s">
        <v>173</v>
      </c>
      <c r="G186" s="13" t="s">
        <v>244</v>
      </c>
      <c r="H186" s="14" t="s">
        <v>175</v>
      </c>
      <c r="I186" s="14" t="s">
        <v>245</v>
      </c>
      <c r="K186" s="15" t="s">
        <v>246</v>
      </c>
      <c r="O186" s="11" t="s">
        <v>3263</v>
      </c>
    </row>
    <row r="187" spans="1:15" hidden="1" x14ac:dyDescent="0.25">
      <c r="A187" s="11" t="s">
        <v>134</v>
      </c>
      <c r="D187" s="12" t="s">
        <v>173</v>
      </c>
      <c r="G187" s="13" t="s">
        <v>247</v>
      </c>
      <c r="H187" s="14" t="s">
        <v>175</v>
      </c>
      <c r="I187" s="14" t="s">
        <v>248</v>
      </c>
      <c r="K187" s="15" t="s">
        <v>249</v>
      </c>
      <c r="O187" s="11" t="s">
        <v>3263</v>
      </c>
    </row>
    <row r="188" spans="1:15" hidden="1" x14ac:dyDescent="0.25">
      <c r="A188" s="11" t="s">
        <v>134</v>
      </c>
      <c r="D188" s="12" t="s">
        <v>173</v>
      </c>
      <c r="G188" s="13" t="s">
        <v>250</v>
      </c>
      <c r="H188" s="14" t="s">
        <v>175</v>
      </c>
      <c r="I188" s="14" t="s">
        <v>251</v>
      </c>
      <c r="K188" s="15" t="s">
        <v>252</v>
      </c>
      <c r="O188" s="11" t="s">
        <v>3263</v>
      </c>
    </row>
    <row r="189" spans="1:15" hidden="1" x14ac:dyDescent="0.25">
      <c r="A189" s="11" t="s">
        <v>134</v>
      </c>
      <c r="D189" s="12" t="s">
        <v>168</v>
      </c>
      <c r="G189" s="13" t="s">
        <v>169</v>
      </c>
      <c r="H189" s="14" t="s">
        <v>168</v>
      </c>
      <c r="I189" s="14" t="s">
        <v>170</v>
      </c>
      <c r="K189" s="15" t="s">
        <v>171</v>
      </c>
      <c r="O189" s="11" t="s">
        <v>3263</v>
      </c>
    </row>
    <row r="190" spans="1:15" hidden="1" x14ac:dyDescent="0.25">
      <c r="A190" s="11" t="s">
        <v>134</v>
      </c>
      <c r="D190" s="12" t="s">
        <v>173</v>
      </c>
      <c r="G190" s="13" t="s">
        <v>256</v>
      </c>
      <c r="H190" s="14" t="s">
        <v>175</v>
      </c>
      <c r="I190" s="14" t="s">
        <v>257</v>
      </c>
      <c r="K190" s="15" t="s">
        <v>258</v>
      </c>
      <c r="O190" s="11" t="s">
        <v>3263</v>
      </c>
    </row>
    <row r="191" spans="1:15" x14ac:dyDescent="0.25">
      <c r="A191" s="11" t="s">
        <v>0</v>
      </c>
      <c r="B191" s="11" t="s">
        <v>552</v>
      </c>
      <c r="C191" s="12" t="s">
        <v>644</v>
      </c>
      <c r="D191" s="12" t="s">
        <v>562</v>
      </c>
      <c r="E191" s="13">
        <v>1</v>
      </c>
      <c r="F191" s="111">
        <v>1801</v>
      </c>
      <c r="G191" s="13" t="s">
        <v>650</v>
      </c>
      <c r="H191" s="14" t="s">
        <v>274</v>
      </c>
      <c r="I191" s="14" t="s">
        <v>651</v>
      </c>
      <c r="J191" s="12" t="s">
        <v>559</v>
      </c>
      <c r="K191" s="15" t="s">
        <v>652</v>
      </c>
      <c r="O191" s="11" t="s">
        <v>653</v>
      </c>
    </row>
    <row r="192" spans="1:15" hidden="1" x14ac:dyDescent="0.25">
      <c r="A192" s="11" t="s">
        <v>0</v>
      </c>
      <c r="B192" s="11" t="s">
        <v>863</v>
      </c>
      <c r="C192" s="12" t="s">
        <v>42</v>
      </c>
      <c r="D192" s="12" t="s">
        <v>1514</v>
      </c>
      <c r="E192" s="13">
        <v>1</v>
      </c>
      <c r="F192" s="111">
        <v>2803</v>
      </c>
      <c r="G192" s="13" t="s">
        <v>1775</v>
      </c>
      <c r="H192" s="14" t="s">
        <v>274</v>
      </c>
      <c r="I192" s="14" t="s">
        <v>1776</v>
      </c>
      <c r="J192" s="12" t="s">
        <v>972</v>
      </c>
      <c r="K192" s="15" t="s">
        <v>1777</v>
      </c>
      <c r="O192" s="11" t="s">
        <v>1518</v>
      </c>
    </row>
    <row r="193" spans="1:15" hidden="1" x14ac:dyDescent="0.25">
      <c r="A193" s="11" t="s">
        <v>0</v>
      </c>
      <c r="B193" s="11" t="s">
        <v>863</v>
      </c>
      <c r="C193" s="12" t="s">
        <v>42</v>
      </c>
      <c r="D193" s="12" t="s">
        <v>1514</v>
      </c>
      <c r="E193" s="13">
        <v>1</v>
      </c>
      <c r="F193" s="111">
        <v>2803</v>
      </c>
      <c r="G193" s="13" t="s">
        <v>1775</v>
      </c>
      <c r="H193" s="14" t="s">
        <v>274</v>
      </c>
      <c r="I193" s="14" t="s">
        <v>1776</v>
      </c>
      <c r="J193" s="12" t="s">
        <v>972</v>
      </c>
      <c r="K193" s="15" t="s">
        <v>1777</v>
      </c>
      <c r="O193" s="11" t="s">
        <v>1518</v>
      </c>
    </row>
    <row r="194" spans="1:15" hidden="1" x14ac:dyDescent="0.25">
      <c r="A194" s="11" t="s">
        <v>0</v>
      </c>
      <c r="B194" s="11" t="s">
        <v>863</v>
      </c>
      <c r="C194" s="12" t="s">
        <v>553</v>
      </c>
      <c r="D194" s="12" t="s">
        <v>2256</v>
      </c>
      <c r="E194" s="13">
        <v>1</v>
      </c>
      <c r="F194" s="111">
        <v>2213</v>
      </c>
      <c r="G194" s="13" t="s">
        <v>2257</v>
      </c>
      <c r="H194" s="14" t="s">
        <v>274</v>
      </c>
      <c r="I194" s="14" t="s">
        <v>2258</v>
      </c>
      <c r="J194" s="12" t="s">
        <v>661</v>
      </c>
      <c r="K194" s="15" t="s">
        <v>2259</v>
      </c>
      <c r="O194" s="11" t="s">
        <v>2260</v>
      </c>
    </row>
    <row r="195" spans="1:15" hidden="1" x14ac:dyDescent="0.25">
      <c r="A195" s="11" t="s">
        <v>0</v>
      </c>
      <c r="B195" s="11" t="s">
        <v>863</v>
      </c>
      <c r="C195" s="12" t="s">
        <v>553</v>
      </c>
      <c r="D195" s="12" t="s">
        <v>2261</v>
      </c>
      <c r="E195" s="13">
        <v>1</v>
      </c>
      <c r="F195" s="111">
        <v>2213</v>
      </c>
      <c r="G195" s="13" t="s">
        <v>2262</v>
      </c>
      <c r="H195" s="14" t="s">
        <v>274</v>
      </c>
      <c r="I195" s="14" t="s">
        <v>2263</v>
      </c>
      <c r="J195" s="12" t="s">
        <v>972</v>
      </c>
      <c r="K195" s="15" t="s">
        <v>2264</v>
      </c>
      <c r="O195" s="11" t="s">
        <v>2265</v>
      </c>
    </row>
    <row r="196" spans="1:15" hidden="1" x14ac:dyDescent="0.25">
      <c r="A196" s="11" t="s">
        <v>0</v>
      </c>
      <c r="B196" s="11" t="s">
        <v>863</v>
      </c>
      <c r="C196" s="12" t="s">
        <v>553</v>
      </c>
      <c r="D196" s="12" t="s">
        <v>1108</v>
      </c>
      <c r="E196" s="13">
        <v>1</v>
      </c>
      <c r="F196" s="111">
        <v>2213</v>
      </c>
      <c r="G196" s="13" t="s">
        <v>2266</v>
      </c>
      <c r="H196" s="14" t="s">
        <v>274</v>
      </c>
      <c r="I196" s="14" t="s">
        <v>2267</v>
      </c>
      <c r="J196" s="12" t="s">
        <v>661</v>
      </c>
      <c r="K196" s="15" t="s">
        <v>2268</v>
      </c>
      <c r="O196" s="11" t="s">
        <v>2269</v>
      </c>
    </row>
    <row r="197" spans="1:15" hidden="1" x14ac:dyDescent="0.25">
      <c r="A197" s="11" t="s">
        <v>0</v>
      </c>
      <c r="B197" s="11" t="s">
        <v>863</v>
      </c>
      <c r="C197" s="12" t="s">
        <v>553</v>
      </c>
      <c r="D197" s="12" t="s">
        <v>1977</v>
      </c>
      <c r="E197" s="13">
        <v>1</v>
      </c>
      <c r="F197" s="111">
        <v>2213</v>
      </c>
      <c r="G197" s="13" t="s">
        <v>2270</v>
      </c>
      <c r="H197" s="14" t="s">
        <v>274</v>
      </c>
      <c r="I197" s="14" t="s">
        <v>2271</v>
      </c>
      <c r="J197" s="12" t="s">
        <v>972</v>
      </c>
      <c r="K197" s="15" t="s">
        <v>2272</v>
      </c>
      <c r="O197" s="11" t="s">
        <v>2273</v>
      </c>
    </row>
    <row r="198" spans="1:15" hidden="1" x14ac:dyDescent="0.25">
      <c r="A198" s="11" t="s">
        <v>0</v>
      </c>
      <c r="B198" s="11" t="s">
        <v>863</v>
      </c>
      <c r="C198" s="12" t="s">
        <v>553</v>
      </c>
      <c r="D198" s="12" t="s">
        <v>2274</v>
      </c>
      <c r="E198" s="13">
        <v>1</v>
      </c>
      <c r="F198" s="111">
        <v>2213</v>
      </c>
      <c r="G198" s="13" t="s">
        <v>2275</v>
      </c>
      <c r="H198" s="14" t="s">
        <v>274</v>
      </c>
      <c r="I198" s="14" t="s">
        <v>2276</v>
      </c>
      <c r="J198" s="12" t="s">
        <v>972</v>
      </c>
      <c r="K198" s="15" t="s">
        <v>2277</v>
      </c>
      <c r="O198" s="11" t="s">
        <v>2278</v>
      </c>
    </row>
    <row r="199" spans="1:15" hidden="1" x14ac:dyDescent="0.25">
      <c r="A199" s="11" t="s">
        <v>0</v>
      </c>
      <c r="B199" s="11" t="s">
        <v>863</v>
      </c>
      <c r="C199" s="12" t="s">
        <v>553</v>
      </c>
      <c r="D199" s="12" t="s">
        <v>2279</v>
      </c>
      <c r="E199" s="13">
        <v>1</v>
      </c>
      <c r="F199" s="111">
        <v>2213</v>
      </c>
      <c r="G199" s="13" t="s">
        <v>2280</v>
      </c>
      <c r="H199" s="14" t="s">
        <v>274</v>
      </c>
      <c r="I199" s="14" t="s">
        <v>2281</v>
      </c>
      <c r="J199" s="12" t="s">
        <v>972</v>
      </c>
      <c r="K199" s="15" t="s">
        <v>2282</v>
      </c>
      <c r="O199" s="11" t="s">
        <v>2283</v>
      </c>
    </row>
    <row r="200" spans="1:15" hidden="1" x14ac:dyDescent="0.25">
      <c r="A200" s="11" t="s">
        <v>0</v>
      </c>
      <c r="B200" s="11" t="s">
        <v>863</v>
      </c>
      <c r="C200" s="12" t="s">
        <v>553</v>
      </c>
      <c r="D200" s="12" t="s">
        <v>2284</v>
      </c>
      <c r="E200" s="13">
        <v>1</v>
      </c>
      <c r="F200" s="111">
        <v>2213</v>
      </c>
      <c r="G200" s="13" t="s">
        <v>2285</v>
      </c>
      <c r="H200" s="14" t="s">
        <v>274</v>
      </c>
      <c r="I200" s="14" t="s">
        <v>2286</v>
      </c>
      <c r="J200" s="12" t="s">
        <v>972</v>
      </c>
      <c r="K200" s="15" t="s">
        <v>2287</v>
      </c>
      <c r="O200" s="11" t="s">
        <v>2288</v>
      </c>
    </row>
    <row r="201" spans="1:15" hidden="1" x14ac:dyDescent="0.25">
      <c r="A201" s="11" t="s">
        <v>0</v>
      </c>
      <c r="B201" s="11" t="s">
        <v>863</v>
      </c>
      <c r="C201" s="12" t="s">
        <v>553</v>
      </c>
      <c r="D201" s="12" t="s">
        <v>2289</v>
      </c>
      <c r="E201" s="13">
        <v>1</v>
      </c>
      <c r="F201" s="111">
        <v>2213</v>
      </c>
      <c r="G201" s="13" t="s">
        <v>2290</v>
      </c>
      <c r="H201" s="14" t="s">
        <v>274</v>
      </c>
      <c r="I201" s="14" t="s">
        <v>2291</v>
      </c>
      <c r="J201" s="12" t="s">
        <v>972</v>
      </c>
      <c r="K201" s="15" t="s">
        <v>2292</v>
      </c>
      <c r="O201" s="11" t="s">
        <v>2293</v>
      </c>
    </row>
    <row r="202" spans="1:15" hidden="1" x14ac:dyDescent="0.25">
      <c r="A202" s="11" t="s">
        <v>0</v>
      </c>
      <c r="B202" s="11" t="s">
        <v>863</v>
      </c>
      <c r="C202" s="12" t="s">
        <v>553</v>
      </c>
      <c r="D202" s="12" t="s">
        <v>2294</v>
      </c>
      <c r="E202" s="13">
        <v>1</v>
      </c>
      <c r="F202" s="111">
        <v>2213</v>
      </c>
      <c r="G202" s="13" t="s">
        <v>2299</v>
      </c>
      <c r="H202" s="14" t="s">
        <v>274</v>
      </c>
      <c r="I202" s="14" t="s">
        <v>2300</v>
      </c>
      <c r="J202" s="12" t="s">
        <v>972</v>
      </c>
      <c r="K202" s="15" t="s">
        <v>2301</v>
      </c>
      <c r="O202" s="11" t="s">
        <v>2298</v>
      </c>
    </row>
    <row r="203" spans="1:15" hidden="1" x14ac:dyDescent="0.25">
      <c r="A203" s="11" t="s">
        <v>0</v>
      </c>
      <c r="B203" s="11" t="s">
        <v>863</v>
      </c>
      <c r="C203" s="12" t="s">
        <v>553</v>
      </c>
      <c r="D203" s="12" t="s">
        <v>2302</v>
      </c>
      <c r="E203" s="13">
        <v>1</v>
      </c>
      <c r="F203" s="111">
        <v>2213</v>
      </c>
      <c r="G203" s="13" t="s">
        <v>2303</v>
      </c>
      <c r="H203" s="14" t="s">
        <v>274</v>
      </c>
      <c r="I203" s="14" t="s">
        <v>2304</v>
      </c>
      <c r="J203" s="12" t="s">
        <v>972</v>
      </c>
      <c r="K203" s="15" t="s">
        <v>2305</v>
      </c>
      <c r="O203" s="11" t="s">
        <v>2306</v>
      </c>
    </row>
    <row r="204" spans="1:15" hidden="1" x14ac:dyDescent="0.25">
      <c r="A204" s="11" t="s">
        <v>0</v>
      </c>
      <c r="B204" s="11" t="s">
        <v>863</v>
      </c>
      <c r="C204" s="12" t="s">
        <v>553</v>
      </c>
      <c r="D204" s="12" t="s">
        <v>2307</v>
      </c>
      <c r="E204" s="13">
        <v>1</v>
      </c>
      <c r="F204" s="111">
        <v>2213</v>
      </c>
      <c r="G204" s="13" t="s">
        <v>2308</v>
      </c>
      <c r="H204" s="14" t="s">
        <v>274</v>
      </c>
      <c r="I204" s="14" t="s">
        <v>2309</v>
      </c>
      <c r="J204" s="12" t="s">
        <v>972</v>
      </c>
      <c r="K204" s="15" t="s">
        <v>2310</v>
      </c>
      <c r="O204" s="11" t="s">
        <v>2311</v>
      </c>
    </row>
    <row r="205" spans="1:15" hidden="1" x14ac:dyDescent="0.25">
      <c r="A205" s="11" t="s">
        <v>0</v>
      </c>
      <c r="B205" s="11" t="s">
        <v>863</v>
      </c>
      <c r="C205" s="12" t="s">
        <v>553</v>
      </c>
      <c r="D205" s="12" t="s">
        <v>2312</v>
      </c>
      <c r="E205" s="13">
        <v>1</v>
      </c>
      <c r="F205" s="111">
        <v>2213</v>
      </c>
      <c r="G205" s="13" t="s">
        <v>2313</v>
      </c>
      <c r="H205" s="14" t="s">
        <v>274</v>
      </c>
      <c r="I205" s="14" t="s">
        <v>2314</v>
      </c>
      <c r="J205" s="12" t="s">
        <v>972</v>
      </c>
      <c r="K205" s="15" t="s">
        <v>2315</v>
      </c>
      <c r="O205" s="11" t="s">
        <v>2316</v>
      </c>
    </row>
    <row r="206" spans="1:15" hidden="1" x14ac:dyDescent="0.25">
      <c r="A206" s="11" t="s">
        <v>0</v>
      </c>
      <c r="B206" s="11" t="s">
        <v>863</v>
      </c>
      <c r="C206" s="12" t="s">
        <v>553</v>
      </c>
      <c r="D206" s="12" t="s">
        <v>2317</v>
      </c>
      <c r="E206" s="13">
        <v>1</v>
      </c>
      <c r="F206" s="111">
        <v>2213</v>
      </c>
      <c r="G206" s="13" t="s">
        <v>2318</v>
      </c>
      <c r="H206" s="14" t="s">
        <v>274</v>
      </c>
      <c r="I206" s="14" t="s">
        <v>2319</v>
      </c>
      <c r="J206" s="12" t="s">
        <v>972</v>
      </c>
      <c r="K206" s="15" t="s">
        <v>2320</v>
      </c>
      <c r="O206" s="11" t="s">
        <v>2321</v>
      </c>
    </row>
    <row r="207" spans="1:15" hidden="1" x14ac:dyDescent="0.25">
      <c r="A207" s="11" t="s">
        <v>0</v>
      </c>
      <c r="B207" s="11" t="s">
        <v>863</v>
      </c>
      <c r="C207" s="12" t="s">
        <v>553</v>
      </c>
      <c r="D207" s="12" t="s">
        <v>2322</v>
      </c>
      <c r="E207" s="13">
        <v>1</v>
      </c>
      <c r="F207" s="111">
        <v>2213</v>
      </c>
      <c r="G207" s="13" t="s">
        <v>2323</v>
      </c>
      <c r="H207" s="14" t="s">
        <v>274</v>
      </c>
      <c r="I207" s="14" t="s">
        <v>2324</v>
      </c>
      <c r="J207" s="12" t="s">
        <v>972</v>
      </c>
      <c r="K207" s="15" t="s">
        <v>2325</v>
      </c>
      <c r="O207" s="11" t="s">
        <v>2326</v>
      </c>
    </row>
    <row r="208" spans="1:15" hidden="1" x14ac:dyDescent="0.25">
      <c r="A208" s="11" t="s">
        <v>0</v>
      </c>
      <c r="B208" s="11" t="s">
        <v>863</v>
      </c>
      <c r="C208" s="12" t="s">
        <v>553</v>
      </c>
      <c r="D208" s="12" t="s">
        <v>621</v>
      </c>
      <c r="E208" s="13">
        <v>1</v>
      </c>
      <c r="F208" s="111">
        <v>2213</v>
      </c>
      <c r="G208" s="13" t="s">
        <v>2327</v>
      </c>
      <c r="H208" s="14" t="s">
        <v>274</v>
      </c>
      <c r="I208" s="14" t="s">
        <v>2328</v>
      </c>
      <c r="J208" s="12" t="s">
        <v>972</v>
      </c>
      <c r="K208" s="15" t="s">
        <v>2329</v>
      </c>
      <c r="O208" s="11" t="s">
        <v>2330</v>
      </c>
    </row>
    <row r="209" spans="1:15" hidden="1" x14ac:dyDescent="0.25">
      <c r="A209" s="11" t="s">
        <v>0</v>
      </c>
      <c r="B209" s="11" t="s">
        <v>863</v>
      </c>
      <c r="C209" s="12" t="s">
        <v>553</v>
      </c>
      <c r="D209" s="12" t="s">
        <v>2294</v>
      </c>
      <c r="E209" s="13">
        <v>2</v>
      </c>
      <c r="F209" s="111">
        <v>2213</v>
      </c>
      <c r="G209" s="13" t="s">
        <v>2295</v>
      </c>
      <c r="H209" s="14" t="s">
        <v>274</v>
      </c>
      <c r="I209" s="14" t="s">
        <v>2296</v>
      </c>
      <c r="J209" s="12" t="s">
        <v>972</v>
      </c>
      <c r="K209" s="15" t="s">
        <v>2297</v>
      </c>
      <c r="O209" s="11" t="s">
        <v>2298</v>
      </c>
    </row>
    <row r="210" spans="1:15" hidden="1" x14ac:dyDescent="0.25">
      <c r="A210" s="11" t="s">
        <v>0</v>
      </c>
      <c r="B210" s="11" t="s">
        <v>863</v>
      </c>
      <c r="C210" s="12" t="s">
        <v>1138</v>
      </c>
      <c r="D210" s="12" t="s">
        <v>1636</v>
      </c>
      <c r="E210" s="13">
        <v>1</v>
      </c>
      <c r="F210" s="111">
        <v>2511</v>
      </c>
      <c r="G210" s="13" t="s">
        <v>1768</v>
      </c>
      <c r="H210" s="14" t="s">
        <v>274</v>
      </c>
      <c r="I210" s="14" t="s">
        <v>1769</v>
      </c>
      <c r="J210" s="12" t="s">
        <v>661</v>
      </c>
      <c r="K210" s="15" t="s">
        <v>1770</v>
      </c>
      <c r="O210" s="11" t="s">
        <v>1771</v>
      </c>
    </row>
    <row r="211" spans="1:15" hidden="1" x14ac:dyDescent="0.25">
      <c r="A211" s="11" t="s">
        <v>0</v>
      </c>
      <c r="B211" s="11" t="s">
        <v>863</v>
      </c>
      <c r="C211" s="12" t="s">
        <v>1138</v>
      </c>
      <c r="D211" s="12" t="s">
        <v>1322</v>
      </c>
      <c r="E211" s="13">
        <v>1</v>
      </c>
      <c r="F211" s="111">
        <v>2511</v>
      </c>
      <c r="G211" s="13" t="s">
        <v>1772</v>
      </c>
      <c r="H211" s="14" t="s">
        <v>274</v>
      </c>
      <c r="I211" s="14" t="s">
        <v>1773</v>
      </c>
      <c r="J211" s="12" t="s">
        <v>661</v>
      </c>
      <c r="K211" s="15" t="s">
        <v>1774</v>
      </c>
      <c r="O211" s="11" t="s">
        <v>1326</v>
      </c>
    </row>
    <row r="212" spans="1:15" hidden="1" x14ac:dyDescent="0.25">
      <c r="A212" s="11" t="s">
        <v>0</v>
      </c>
      <c r="B212" s="11" t="s">
        <v>863</v>
      </c>
      <c r="C212" s="12" t="s">
        <v>1138</v>
      </c>
      <c r="D212" s="12" t="s">
        <v>1322</v>
      </c>
      <c r="E212" s="13">
        <v>2</v>
      </c>
      <c r="F212" s="111">
        <v>2511</v>
      </c>
      <c r="G212" s="13" t="s">
        <v>1323</v>
      </c>
      <c r="H212" s="14" t="s">
        <v>274</v>
      </c>
      <c r="I212" s="14" t="s">
        <v>1324</v>
      </c>
      <c r="J212" s="12" t="s">
        <v>661</v>
      </c>
      <c r="K212" s="15" t="s">
        <v>1325</v>
      </c>
      <c r="O212" s="11" t="s">
        <v>1326</v>
      </c>
    </row>
    <row r="213" spans="1:15" hidden="1" x14ac:dyDescent="0.25">
      <c r="A213" s="11" t="s">
        <v>0</v>
      </c>
      <c r="B213" s="11" t="s">
        <v>863</v>
      </c>
      <c r="C213" s="12" t="s">
        <v>1138</v>
      </c>
      <c r="D213" s="12" t="s">
        <v>1696</v>
      </c>
      <c r="E213" s="13">
        <v>1</v>
      </c>
      <c r="F213" s="111">
        <v>2512</v>
      </c>
      <c r="G213" s="13" t="s">
        <v>1697</v>
      </c>
      <c r="H213" s="14" t="s">
        <v>274</v>
      </c>
      <c r="I213" s="14" t="s">
        <v>1698</v>
      </c>
      <c r="J213" s="12" t="s">
        <v>559</v>
      </c>
      <c r="K213" s="15" t="s">
        <v>1699</v>
      </c>
      <c r="O213" s="11" t="s">
        <v>1700</v>
      </c>
    </row>
    <row r="214" spans="1:15" hidden="1" x14ac:dyDescent="0.25">
      <c r="A214" s="11" t="s">
        <v>0</v>
      </c>
      <c r="B214" s="11" t="s">
        <v>863</v>
      </c>
      <c r="C214" s="12" t="s">
        <v>1138</v>
      </c>
      <c r="D214" s="12" t="s">
        <v>1734</v>
      </c>
      <c r="E214" s="13">
        <v>1</v>
      </c>
      <c r="F214" s="111">
        <v>2512</v>
      </c>
      <c r="G214" s="13" t="s">
        <v>1735</v>
      </c>
      <c r="H214" s="14" t="s">
        <v>274</v>
      </c>
      <c r="I214" s="14" t="s">
        <v>1736</v>
      </c>
      <c r="J214" s="12" t="s">
        <v>661</v>
      </c>
      <c r="K214" s="15" t="s">
        <v>1737</v>
      </c>
      <c r="O214" s="11" t="s">
        <v>1738</v>
      </c>
    </row>
    <row r="215" spans="1:15" hidden="1" x14ac:dyDescent="0.25">
      <c r="A215" s="11" t="s">
        <v>0</v>
      </c>
      <c r="B215" s="11" t="s">
        <v>863</v>
      </c>
      <c r="C215" s="12" t="s">
        <v>1138</v>
      </c>
      <c r="D215" s="12" t="s">
        <v>1739</v>
      </c>
      <c r="E215" s="13">
        <v>1</v>
      </c>
      <c r="F215" s="111">
        <v>2512</v>
      </c>
      <c r="G215" s="13" t="s">
        <v>1740</v>
      </c>
      <c r="H215" s="14" t="s">
        <v>274</v>
      </c>
      <c r="I215" s="14" t="s">
        <v>1741</v>
      </c>
      <c r="J215" s="12" t="s">
        <v>661</v>
      </c>
      <c r="K215" s="15" t="s">
        <v>1742</v>
      </c>
      <c r="O215" s="11" t="s">
        <v>1743</v>
      </c>
    </row>
    <row r="216" spans="1:15" hidden="1" x14ac:dyDescent="0.25">
      <c r="A216" s="11" t="s">
        <v>0</v>
      </c>
      <c r="B216" s="11" t="s">
        <v>863</v>
      </c>
      <c r="C216" s="12" t="s">
        <v>1138</v>
      </c>
      <c r="D216" s="12" t="s">
        <v>831</v>
      </c>
      <c r="E216" s="13">
        <v>1</v>
      </c>
      <c r="F216" s="111">
        <v>2512</v>
      </c>
      <c r="G216" s="13" t="s">
        <v>1744</v>
      </c>
      <c r="H216" s="14" t="s">
        <v>274</v>
      </c>
      <c r="I216" s="14" t="s">
        <v>1745</v>
      </c>
      <c r="J216" s="12" t="s">
        <v>661</v>
      </c>
      <c r="K216" s="15" t="s">
        <v>1746</v>
      </c>
      <c r="O216" s="11" t="s">
        <v>1747</v>
      </c>
    </row>
    <row r="217" spans="1:15" hidden="1" x14ac:dyDescent="0.25">
      <c r="A217" s="11" t="s">
        <v>0</v>
      </c>
      <c r="B217" s="11" t="s">
        <v>863</v>
      </c>
      <c r="C217" s="12" t="s">
        <v>1138</v>
      </c>
      <c r="D217" s="12" t="s">
        <v>1748</v>
      </c>
      <c r="E217" s="13">
        <v>1</v>
      </c>
      <c r="F217" s="111">
        <v>2512</v>
      </c>
      <c r="G217" s="13" t="s">
        <v>1749</v>
      </c>
      <c r="H217" s="14" t="s">
        <v>274</v>
      </c>
      <c r="I217" s="14" t="s">
        <v>1750</v>
      </c>
      <c r="J217" s="12" t="s">
        <v>661</v>
      </c>
      <c r="K217" s="15" t="s">
        <v>1751</v>
      </c>
      <c r="O217" s="11" t="s">
        <v>1752</v>
      </c>
    </row>
    <row r="218" spans="1:15" hidden="1" x14ac:dyDescent="0.25">
      <c r="A218" s="11" t="s">
        <v>0</v>
      </c>
      <c r="B218" s="11" t="s">
        <v>863</v>
      </c>
      <c r="C218" s="12" t="s">
        <v>1138</v>
      </c>
      <c r="D218" s="12" t="s">
        <v>1753</v>
      </c>
      <c r="E218" s="13">
        <v>1</v>
      </c>
      <c r="F218" s="111">
        <v>2512</v>
      </c>
      <c r="G218" s="13" t="s">
        <v>1754</v>
      </c>
      <c r="H218" s="14" t="s">
        <v>274</v>
      </c>
      <c r="I218" s="14" t="s">
        <v>1755</v>
      </c>
      <c r="J218" s="12" t="s">
        <v>661</v>
      </c>
      <c r="K218" s="15" t="s">
        <v>1756</v>
      </c>
      <c r="O218" s="11" t="s">
        <v>1757</v>
      </c>
    </row>
    <row r="219" spans="1:15" hidden="1" x14ac:dyDescent="0.25">
      <c r="A219" s="11" t="s">
        <v>0</v>
      </c>
      <c r="B219" s="11" t="s">
        <v>863</v>
      </c>
      <c r="C219" s="12" t="s">
        <v>1138</v>
      </c>
      <c r="D219" s="12" t="s">
        <v>1758</v>
      </c>
      <c r="E219" s="13">
        <v>1</v>
      </c>
      <c r="F219" s="111">
        <v>2512</v>
      </c>
      <c r="G219" s="13" t="s">
        <v>1759</v>
      </c>
      <c r="H219" s="14" t="s">
        <v>274</v>
      </c>
      <c r="I219" s="14" t="s">
        <v>1760</v>
      </c>
      <c r="J219" s="12" t="s">
        <v>661</v>
      </c>
      <c r="K219" s="15" t="s">
        <v>1761</v>
      </c>
      <c r="O219" s="11" t="s">
        <v>1762</v>
      </c>
    </row>
    <row r="220" spans="1:15" hidden="1" x14ac:dyDescent="0.25">
      <c r="A220" s="11" t="s">
        <v>0</v>
      </c>
      <c r="B220" s="11" t="s">
        <v>863</v>
      </c>
      <c r="C220" s="12" t="s">
        <v>1138</v>
      </c>
      <c r="D220" s="12" t="s">
        <v>1763</v>
      </c>
      <c r="E220" s="13">
        <v>1</v>
      </c>
      <c r="F220" s="111">
        <v>2512</v>
      </c>
      <c r="G220" s="13" t="s">
        <v>1764</v>
      </c>
      <c r="H220" s="14" t="s">
        <v>274</v>
      </c>
      <c r="I220" s="14" t="s">
        <v>1765</v>
      </c>
      <c r="J220" s="12" t="s">
        <v>559</v>
      </c>
      <c r="K220" s="15" t="s">
        <v>1766</v>
      </c>
      <c r="O220" s="11" t="s">
        <v>1767</v>
      </c>
    </row>
    <row r="221" spans="1:15" hidden="1" x14ac:dyDescent="0.25">
      <c r="A221" s="11" t="s">
        <v>0</v>
      </c>
      <c r="B221" s="11" t="s">
        <v>863</v>
      </c>
      <c r="C221" s="12" t="s">
        <v>1138</v>
      </c>
      <c r="D221" s="12" t="s">
        <v>1285</v>
      </c>
      <c r="E221" s="13">
        <v>1</v>
      </c>
      <c r="F221" s="111">
        <v>2515</v>
      </c>
      <c r="G221" s="13" t="s">
        <v>2357</v>
      </c>
      <c r="H221" s="14" t="s">
        <v>274</v>
      </c>
      <c r="I221" s="14" t="s">
        <v>2358</v>
      </c>
      <c r="J221" s="12" t="s">
        <v>661</v>
      </c>
      <c r="K221" s="15" t="s">
        <v>2359</v>
      </c>
      <c r="O221" s="11" t="s">
        <v>2354</v>
      </c>
    </row>
    <row r="222" spans="1:15" hidden="1" x14ac:dyDescent="0.25">
      <c r="A222" s="11" t="s">
        <v>0</v>
      </c>
      <c r="B222" s="11" t="s">
        <v>863</v>
      </c>
      <c r="C222" s="12" t="s">
        <v>1138</v>
      </c>
      <c r="D222" s="12" t="s">
        <v>1285</v>
      </c>
      <c r="E222" s="13">
        <v>2</v>
      </c>
      <c r="F222" s="111">
        <v>2515</v>
      </c>
      <c r="G222" s="13" t="s">
        <v>2351</v>
      </c>
      <c r="H222" s="14" t="s">
        <v>274</v>
      </c>
      <c r="I222" s="14" t="s">
        <v>2352</v>
      </c>
      <c r="J222" s="12" t="s">
        <v>661</v>
      </c>
      <c r="K222" s="15" t="s">
        <v>2353</v>
      </c>
      <c r="O222" s="11" t="s">
        <v>2354</v>
      </c>
    </row>
    <row r="223" spans="1:15" hidden="1" x14ac:dyDescent="0.25">
      <c r="A223" s="11" t="s">
        <v>0</v>
      </c>
      <c r="B223" s="11" t="s">
        <v>863</v>
      </c>
      <c r="C223" s="12" t="s">
        <v>1138</v>
      </c>
      <c r="D223" s="12" t="s">
        <v>1871</v>
      </c>
      <c r="E223" s="13">
        <v>1</v>
      </c>
      <c r="F223" s="111">
        <v>2517</v>
      </c>
      <c r="G223" s="13" t="s">
        <v>1872</v>
      </c>
      <c r="H223" s="14" t="s">
        <v>274</v>
      </c>
      <c r="I223" s="14" t="s">
        <v>1873</v>
      </c>
      <c r="J223" s="12" t="s">
        <v>559</v>
      </c>
      <c r="K223" s="15" t="s">
        <v>1874</v>
      </c>
      <c r="O223" s="11" t="s">
        <v>1875</v>
      </c>
    </row>
    <row r="224" spans="1:15" hidden="1" x14ac:dyDescent="0.25">
      <c r="A224" s="11" t="s">
        <v>0</v>
      </c>
      <c r="B224" s="11" t="s">
        <v>863</v>
      </c>
      <c r="C224" s="12" t="s">
        <v>1327</v>
      </c>
      <c r="D224" s="12" t="s">
        <v>1514</v>
      </c>
      <c r="E224" s="13">
        <v>1</v>
      </c>
      <c r="F224" s="111">
        <v>2803</v>
      </c>
      <c r="G224" s="13" t="s">
        <v>1515</v>
      </c>
      <c r="H224" s="14" t="s">
        <v>274</v>
      </c>
      <c r="I224" s="14" t="s">
        <v>1516</v>
      </c>
      <c r="J224" s="12" t="s">
        <v>559</v>
      </c>
      <c r="K224" s="15" t="s">
        <v>1517</v>
      </c>
      <c r="O224" s="11" t="s">
        <v>1518</v>
      </c>
    </row>
    <row r="225" spans="1:15" hidden="1" x14ac:dyDescent="0.25">
      <c r="A225" s="11" t="s">
        <v>0</v>
      </c>
      <c r="B225" s="11" t="s">
        <v>863</v>
      </c>
      <c r="C225" s="12" t="s">
        <v>1138</v>
      </c>
      <c r="D225" s="12" t="s">
        <v>1514</v>
      </c>
      <c r="E225" s="13">
        <v>1</v>
      </c>
      <c r="F225" s="111">
        <v>2803</v>
      </c>
      <c r="G225" s="13" t="s">
        <v>1731</v>
      </c>
      <c r="H225" s="14" t="s">
        <v>274</v>
      </c>
      <c r="I225" s="14" t="s">
        <v>1732</v>
      </c>
      <c r="J225" s="12" t="s">
        <v>661</v>
      </c>
      <c r="K225" s="15" t="s">
        <v>1733</v>
      </c>
      <c r="O225" s="11" t="s">
        <v>1518</v>
      </c>
    </row>
    <row r="226" spans="1:15" hidden="1" x14ac:dyDescent="0.25">
      <c r="A226" s="11" t="s">
        <v>0</v>
      </c>
      <c r="B226" s="11" t="s">
        <v>863</v>
      </c>
      <c r="C226" s="12" t="s">
        <v>42</v>
      </c>
      <c r="D226" s="12" t="s">
        <v>1783</v>
      </c>
      <c r="E226" s="13">
        <v>1</v>
      </c>
      <c r="F226" s="111">
        <v>2112</v>
      </c>
      <c r="G226" s="13" t="s">
        <v>1784</v>
      </c>
      <c r="H226" s="14" t="s">
        <v>274</v>
      </c>
      <c r="I226" s="14" t="s">
        <v>1785</v>
      </c>
      <c r="J226" s="12" t="s">
        <v>559</v>
      </c>
      <c r="K226" s="15" t="s">
        <v>1786</v>
      </c>
      <c r="O226" s="11" t="s">
        <v>1787</v>
      </c>
    </row>
    <row r="227" spans="1:15" hidden="1" x14ac:dyDescent="0.25">
      <c r="A227" s="11" t="s">
        <v>0</v>
      </c>
      <c r="B227" s="11" t="s">
        <v>2429</v>
      </c>
      <c r="C227" s="12" t="s">
        <v>2441</v>
      </c>
      <c r="D227" s="12" t="s">
        <v>2873</v>
      </c>
      <c r="E227" s="13">
        <v>1</v>
      </c>
      <c r="F227" s="111">
        <v>3316</v>
      </c>
      <c r="G227" s="13" t="s">
        <v>2874</v>
      </c>
      <c r="H227" s="14" t="s">
        <v>554</v>
      </c>
      <c r="I227" s="14" t="s">
        <v>2875</v>
      </c>
      <c r="J227" s="12" t="s">
        <v>555</v>
      </c>
      <c r="K227" s="15" t="s">
        <v>2876</v>
      </c>
      <c r="O227" s="11" t="s">
        <v>2877</v>
      </c>
    </row>
    <row r="228" spans="1:15" hidden="1" x14ac:dyDescent="0.25">
      <c r="A228" s="11" t="s">
        <v>0</v>
      </c>
      <c r="B228" s="11" t="s">
        <v>2429</v>
      </c>
      <c r="C228" s="12" t="s">
        <v>2441</v>
      </c>
      <c r="D228" s="12" t="s">
        <v>2879</v>
      </c>
      <c r="E228" s="13">
        <v>1</v>
      </c>
      <c r="F228" s="111">
        <v>3316</v>
      </c>
      <c r="G228" s="13" t="s">
        <v>2880</v>
      </c>
      <c r="H228" s="14" t="s">
        <v>554</v>
      </c>
      <c r="I228" s="14" t="s">
        <v>2881</v>
      </c>
      <c r="J228" s="12" t="s">
        <v>555</v>
      </c>
      <c r="K228" s="15" t="s">
        <v>2882</v>
      </c>
      <c r="O228" s="11" t="s">
        <v>2883</v>
      </c>
    </row>
    <row r="229" spans="1:15" hidden="1" x14ac:dyDescent="0.25">
      <c r="A229" s="11" t="s">
        <v>0</v>
      </c>
      <c r="H229" s="14" t="s">
        <v>110</v>
      </c>
      <c r="I229" s="14" t="s">
        <v>110</v>
      </c>
      <c r="K229" s="15" t="s">
        <v>2355</v>
      </c>
    </row>
    <row r="230" spans="1:15" hidden="1" x14ac:dyDescent="0.25">
      <c r="A230" s="11" t="s">
        <v>0</v>
      </c>
      <c r="H230" s="14" t="s">
        <v>110</v>
      </c>
      <c r="I230" s="14" t="s">
        <v>110</v>
      </c>
      <c r="K230" s="15" t="s">
        <v>2356</v>
      </c>
    </row>
    <row r="231" spans="1:15" hidden="1" x14ac:dyDescent="0.25">
      <c r="A231" s="11" t="s">
        <v>4</v>
      </c>
      <c r="B231" s="11" t="s">
        <v>845</v>
      </c>
      <c r="C231" s="12" t="s">
        <v>870</v>
      </c>
      <c r="D231" s="12" t="s">
        <v>3183</v>
      </c>
      <c r="E231" s="13">
        <v>1</v>
      </c>
      <c r="F231" s="111">
        <v>2002</v>
      </c>
      <c r="G231" s="13" t="s">
        <v>3184</v>
      </c>
      <c r="H231" s="14" t="s">
        <v>554</v>
      </c>
      <c r="I231" s="14" t="s">
        <v>3185</v>
      </c>
      <c r="J231" s="12" t="s">
        <v>555</v>
      </c>
      <c r="K231" s="15" t="s">
        <v>3186</v>
      </c>
      <c r="O231" s="11" t="s">
        <v>3187</v>
      </c>
    </row>
    <row r="232" spans="1:15" hidden="1" x14ac:dyDescent="0.25">
      <c r="A232" s="11" t="s">
        <v>4</v>
      </c>
      <c r="B232" s="11" t="s">
        <v>845</v>
      </c>
      <c r="C232" s="12" t="s">
        <v>870</v>
      </c>
      <c r="D232" s="12" t="s">
        <v>3188</v>
      </c>
      <c r="E232" s="13">
        <v>1</v>
      </c>
      <c r="F232" s="111">
        <v>2002</v>
      </c>
      <c r="G232" s="13" t="s">
        <v>3189</v>
      </c>
      <c r="H232" s="14" t="s">
        <v>554</v>
      </c>
      <c r="I232" s="14" t="s">
        <v>3190</v>
      </c>
      <c r="J232" s="12" t="s">
        <v>555</v>
      </c>
      <c r="K232" s="15" t="s">
        <v>3191</v>
      </c>
      <c r="O232" s="11" t="s">
        <v>3192</v>
      </c>
    </row>
    <row r="233" spans="1:15" hidden="1" x14ac:dyDescent="0.25">
      <c r="A233" s="11" t="s">
        <v>4</v>
      </c>
      <c r="B233" s="11" t="s">
        <v>845</v>
      </c>
      <c r="C233" s="12" t="s">
        <v>870</v>
      </c>
      <c r="D233" s="12" t="s">
        <v>3193</v>
      </c>
      <c r="E233" s="13">
        <v>1</v>
      </c>
      <c r="F233" s="111">
        <v>2002</v>
      </c>
      <c r="G233" s="13" t="s">
        <v>3194</v>
      </c>
      <c r="H233" s="14" t="s">
        <v>554</v>
      </c>
      <c r="I233" s="14" t="s">
        <v>3195</v>
      </c>
      <c r="J233" s="12" t="s">
        <v>555</v>
      </c>
      <c r="K233" s="15" t="s">
        <v>3196</v>
      </c>
      <c r="O233" s="11" t="s">
        <v>3197</v>
      </c>
    </row>
    <row r="234" spans="1:15" hidden="1" x14ac:dyDescent="0.25">
      <c r="A234" s="11" t="s">
        <v>4</v>
      </c>
      <c r="B234" s="11" t="s">
        <v>845</v>
      </c>
      <c r="C234" s="12" t="s">
        <v>870</v>
      </c>
      <c r="D234" s="12" t="s">
        <v>3198</v>
      </c>
      <c r="E234" s="13">
        <v>1</v>
      </c>
      <c r="F234" s="111">
        <v>2002</v>
      </c>
      <c r="G234" s="13" t="s">
        <v>3199</v>
      </c>
      <c r="H234" s="14" t="s">
        <v>554</v>
      </c>
      <c r="I234" s="14" t="s">
        <v>3200</v>
      </c>
      <c r="J234" s="12" t="s">
        <v>555</v>
      </c>
      <c r="K234" s="15" t="s">
        <v>3201</v>
      </c>
      <c r="O234" s="11" t="s">
        <v>3202</v>
      </c>
    </row>
    <row r="235" spans="1:15" hidden="1" x14ac:dyDescent="0.25">
      <c r="A235" s="11" t="s">
        <v>4</v>
      </c>
      <c r="B235" s="11" t="s">
        <v>845</v>
      </c>
      <c r="C235" s="12" t="s">
        <v>870</v>
      </c>
      <c r="D235" s="12" t="s">
        <v>3203</v>
      </c>
      <c r="E235" s="13">
        <v>1</v>
      </c>
      <c r="F235" s="111">
        <v>2002</v>
      </c>
      <c r="G235" s="13" t="s">
        <v>3204</v>
      </c>
      <c r="H235" s="14" t="s">
        <v>554</v>
      </c>
      <c r="I235" s="14" t="s">
        <v>3205</v>
      </c>
      <c r="J235" s="12" t="s">
        <v>555</v>
      </c>
      <c r="K235" s="15" t="s">
        <v>3206</v>
      </c>
      <c r="O235" s="11" t="s">
        <v>3207</v>
      </c>
    </row>
    <row r="236" spans="1:15" hidden="1" x14ac:dyDescent="0.25">
      <c r="A236" s="11" t="s">
        <v>4</v>
      </c>
      <c r="B236" s="11" t="s">
        <v>845</v>
      </c>
      <c r="C236" s="12" t="s">
        <v>870</v>
      </c>
      <c r="D236" s="12" t="s">
        <v>3208</v>
      </c>
      <c r="E236" s="13">
        <v>1</v>
      </c>
      <c r="F236" s="111">
        <v>2002</v>
      </c>
      <c r="G236" s="13" t="s">
        <v>3209</v>
      </c>
      <c r="H236" s="14" t="s">
        <v>554</v>
      </c>
      <c r="I236" s="14" t="s">
        <v>3210</v>
      </c>
      <c r="J236" s="12" t="s">
        <v>555</v>
      </c>
      <c r="K236" s="15" t="s">
        <v>3211</v>
      </c>
      <c r="O236" s="11" t="s">
        <v>3212</v>
      </c>
    </row>
    <row r="237" spans="1:15" hidden="1" x14ac:dyDescent="0.25">
      <c r="A237" s="11" t="s">
        <v>4</v>
      </c>
      <c r="B237" s="11" t="s">
        <v>845</v>
      </c>
      <c r="C237" s="12" t="s">
        <v>870</v>
      </c>
      <c r="D237" s="12" t="s">
        <v>3213</v>
      </c>
      <c r="E237" s="13">
        <v>1</v>
      </c>
      <c r="F237" s="111">
        <v>2002</v>
      </c>
      <c r="G237" s="13" t="s">
        <v>3214</v>
      </c>
      <c r="H237" s="14" t="s">
        <v>554</v>
      </c>
      <c r="I237" s="14" t="s">
        <v>3215</v>
      </c>
      <c r="J237" s="12" t="s">
        <v>555</v>
      </c>
      <c r="K237" s="15" t="s">
        <v>3216</v>
      </c>
      <c r="O237" s="11" t="s">
        <v>3217</v>
      </c>
    </row>
    <row r="238" spans="1:15" hidden="1" x14ac:dyDescent="0.25">
      <c r="A238" s="11" t="s">
        <v>4</v>
      </c>
      <c r="B238" s="11" t="s">
        <v>845</v>
      </c>
      <c r="C238" s="12" t="s">
        <v>870</v>
      </c>
      <c r="D238" s="12" t="s">
        <v>3227</v>
      </c>
      <c r="E238" s="13">
        <v>1</v>
      </c>
      <c r="F238" s="111">
        <v>2002</v>
      </c>
      <c r="G238" s="13" t="s">
        <v>3232</v>
      </c>
      <c r="H238" s="14" t="s">
        <v>554</v>
      </c>
      <c r="I238" s="14" t="s">
        <v>3233</v>
      </c>
      <c r="J238" s="12" t="s">
        <v>555</v>
      </c>
      <c r="K238" s="15" t="s">
        <v>3234</v>
      </c>
      <c r="O238" s="11" t="s">
        <v>3231</v>
      </c>
    </row>
    <row r="239" spans="1:15" hidden="1" x14ac:dyDescent="0.25">
      <c r="A239" s="11" t="s">
        <v>4</v>
      </c>
      <c r="B239" s="11" t="s">
        <v>845</v>
      </c>
      <c r="C239" s="12" t="s">
        <v>870</v>
      </c>
      <c r="D239" s="12" t="s">
        <v>3198</v>
      </c>
      <c r="E239" s="13">
        <v>2</v>
      </c>
      <c r="F239" s="111">
        <v>2002</v>
      </c>
      <c r="G239" s="13" t="s">
        <v>3218</v>
      </c>
      <c r="H239" s="14" t="s">
        <v>554</v>
      </c>
      <c r="I239" s="14" t="s">
        <v>3219</v>
      </c>
      <c r="J239" s="12" t="s">
        <v>555</v>
      </c>
      <c r="K239" s="15" t="s">
        <v>3220</v>
      </c>
      <c r="O239" s="11" t="s">
        <v>3202</v>
      </c>
    </row>
    <row r="240" spans="1:15" hidden="1" x14ac:dyDescent="0.25">
      <c r="A240" s="11" t="s">
        <v>4</v>
      </c>
      <c r="B240" s="11" t="s">
        <v>845</v>
      </c>
      <c r="C240" s="12" t="s">
        <v>870</v>
      </c>
      <c r="D240" s="12" t="s">
        <v>3227</v>
      </c>
      <c r="E240" s="13">
        <v>2</v>
      </c>
      <c r="F240" s="111">
        <v>2002</v>
      </c>
      <c r="G240" s="13" t="s">
        <v>3228</v>
      </c>
      <c r="H240" s="14" t="s">
        <v>554</v>
      </c>
      <c r="I240" s="14" t="s">
        <v>3229</v>
      </c>
      <c r="J240" s="12" t="s">
        <v>555</v>
      </c>
      <c r="K240" s="15" t="s">
        <v>3230</v>
      </c>
      <c r="O240" s="11" t="s">
        <v>3231</v>
      </c>
    </row>
    <row r="241" spans="1:15" hidden="1" x14ac:dyDescent="0.25">
      <c r="A241" s="11" t="s">
        <v>4</v>
      </c>
      <c r="B241" s="11" t="s">
        <v>845</v>
      </c>
      <c r="C241" s="12" t="s">
        <v>870</v>
      </c>
      <c r="D241" s="12" t="s">
        <v>3198</v>
      </c>
      <c r="E241" s="13">
        <v>3</v>
      </c>
      <c r="F241" s="111">
        <v>2002</v>
      </c>
      <c r="G241" s="13" t="s">
        <v>3221</v>
      </c>
      <c r="H241" s="14" t="s">
        <v>554</v>
      </c>
      <c r="I241" s="14" t="s">
        <v>3222</v>
      </c>
      <c r="J241" s="12" t="s">
        <v>555</v>
      </c>
      <c r="K241" s="15" t="s">
        <v>3223</v>
      </c>
      <c r="O241" s="11" t="s">
        <v>3202</v>
      </c>
    </row>
    <row r="242" spans="1:15" hidden="1" x14ac:dyDescent="0.25">
      <c r="A242" s="11" t="s">
        <v>4</v>
      </c>
      <c r="B242" s="11" t="s">
        <v>845</v>
      </c>
      <c r="C242" s="12" t="s">
        <v>870</v>
      </c>
      <c r="D242" s="12" t="s">
        <v>3198</v>
      </c>
      <c r="E242" s="13">
        <v>4</v>
      </c>
      <c r="F242" s="111">
        <v>2002</v>
      </c>
      <c r="G242" s="13" t="s">
        <v>3224</v>
      </c>
      <c r="H242" s="14" t="s">
        <v>554</v>
      </c>
      <c r="I242" s="14" t="s">
        <v>3225</v>
      </c>
      <c r="J242" s="12" t="s">
        <v>555</v>
      </c>
      <c r="K242" s="15" t="s">
        <v>3226</v>
      </c>
      <c r="O242" s="11" t="s">
        <v>3202</v>
      </c>
    </row>
    <row r="243" spans="1:15" hidden="1" x14ac:dyDescent="0.25">
      <c r="A243" s="11" t="s">
        <v>134</v>
      </c>
      <c r="B243" s="11" t="s">
        <v>134</v>
      </c>
      <c r="C243" s="12" t="s">
        <v>21</v>
      </c>
      <c r="D243" s="12" t="s">
        <v>2</v>
      </c>
      <c r="E243" s="13" t="s">
        <v>2</v>
      </c>
      <c r="F243" s="111" t="s">
        <v>2</v>
      </c>
      <c r="G243" s="13" t="s">
        <v>2</v>
      </c>
      <c r="H243" s="14" t="s">
        <v>2</v>
      </c>
      <c r="I243" s="14" t="s">
        <v>21</v>
      </c>
      <c r="J243" s="12" t="s">
        <v>21</v>
      </c>
      <c r="K243" s="15" t="s">
        <v>21</v>
      </c>
      <c r="L243" s="16" t="s">
        <v>21</v>
      </c>
      <c r="M243" s="16" t="s">
        <v>21</v>
      </c>
      <c r="N243" s="58" t="s">
        <v>4</v>
      </c>
      <c r="O243" s="11" t="s">
        <v>21</v>
      </c>
    </row>
    <row r="244" spans="1:15" hidden="1" x14ac:dyDescent="0.25">
      <c r="A244" s="11" t="s">
        <v>134</v>
      </c>
      <c r="B244" s="11" t="s">
        <v>134</v>
      </c>
      <c r="C244" s="12" t="s">
        <v>21</v>
      </c>
      <c r="D244" s="12" t="s">
        <v>2</v>
      </c>
      <c r="E244" s="13" t="s">
        <v>2</v>
      </c>
      <c r="F244" s="111" t="s">
        <v>2</v>
      </c>
      <c r="G244" s="13" t="s">
        <v>2</v>
      </c>
      <c r="H244" s="14" t="s">
        <v>2</v>
      </c>
      <c r="I244" s="14" t="s">
        <v>21</v>
      </c>
      <c r="J244" s="12" t="s">
        <v>21</v>
      </c>
      <c r="K244" s="15" t="s">
        <v>21</v>
      </c>
      <c r="L244" s="16" t="s">
        <v>21</v>
      </c>
      <c r="M244" s="16" t="s">
        <v>21</v>
      </c>
      <c r="N244" s="58" t="s">
        <v>4</v>
      </c>
      <c r="O244" s="11" t="s">
        <v>21</v>
      </c>
    </row>
    <row r="245" spans="1:15" hidden="1" x14ac:dyDescent="0.25">
      <c r="A245" s="11" t="s">
        <v>134</v>
      </c>
      <c r="B245" s="11" t="s">
        <v>134</v>
      </c>
      <c r="C245" s="12" t="s">
        <v>134</v>
      </c>
      <c r="D245" s="12" t="s">
        <v>2</v>
      </c>
      <c r="E245" s="13" t="s">
        <v>2</v>
      </c>
      <c r="F245" s="111" t="s">
        <v>2</v>
      </c>
      <c r="G245" s="13" t="s">
        <v>2</v>
      </c>
      <c r="H245" s="14" t="s">
        <v>2</v>
      </c>
      <c r="I245" s="14" t="s">
        <v>21</v>
      </c>
      <c r="J245" s="12" t="s">
        <v>21</v>
      </c>
      <c r="K245" s="15" t="s">
        <v>21</v>
      </c>
      <c r="L245" s="16" t="s">
        <v>21</v>
      </c>
      <c r="M245" s="16" t="s">
        <v>23</v>
      </c>
      <c r="N245" s="58" t="s">
        <v>21</v>
      </c>
      <c r="O245" s="11" t="s">
        <v>23</v>
      </c>
    </row>
    <row r="246" spans="1:15" hidden="1" x14ac:dyDescent="0.25">
      <c r="A246" s="11" t="s">
        <v>134</v>
      </c>
      <c r="B246" s="11" t="s">
        <v>134</v>
      </c>
      <c r="C246" s="12" t="s">
        <v>134</v>
      </c>
      <c r="D246" s="12" t="s">
        <v>2</v>
      </c>
      <c r="E246" s="13" t="s">
        <v>2</v>
      </c>
      <c r="F246" s="111" t="s">
        <v>2</v>
      </c>
      <c r="G246" s="13" t="s">
        <v>2</v>
      </c>
      <c r="H246" s="14" t="s">
        <v>2</v>
      </c>
      <c r="I246" s="14" t="s">
        <v>21</v>
      </c>
      <c r="J246" s="12" t="s">
        <v>21</v>
      </c>
      <c r="K246" s="15" t="s">
        <v>21</v>
      </c>
      <c r="L246" s="16" t="s">
        <v>21</v>
      </c>
      <c r="M246" s="16" t="s">
        <v>21</v>
      </c>
      <c r="N246" s="58" t="s">
        <v>21</v>
      </c>
      <c r="O246" s="11" t="s">
        <v>21</v>
      </c>
    </row>
    <row r="247" spans="1:15" hidden="1" x14ac:dyDescent="0.25">
      <c r="A247" s="11" t="s">
        <v>134</v>
      </c>
      <c r="B247" s="11" t="s">
        <v>134</v>
      </c>
      <c r="C247" s="12" t="s">
        <v>134</v>
      </c>
      <c r="D247" s="12" t="s">
        <v>2</v>
      </c>
      <c r="E247" s="13" t="s">
        <v>2</v>
      </c>
      <c r="F247" s="111" t="s">
        <v>2</v>
      </c>
      <c r="G247" s="13" t="s">
        <v>2</v>
      </c>
      <c r="H247" s="14" t="s">
        <v>2</v>
      </c>
      <c r="I247" s="14" t="s">
        <v>21</v>
      </c>
      <c r="J247" s="12" t="s">
        <v>21</v>
      </c>
      <c r="K247" s="15" t="s">
        <v>21</v>
      </c>
      <c r="L247" s="16" t="s">
        <v>21</v>
      </c>
      <c r="M247" s="16" t="s">
        <v>21</v>
      </c>
      <c r="N247" s="58" t="s">
        <v>21</v>
      </c>
      <c r="O247" s="11" t="s">
        <v>23</v>
      </c>
    </row>
    <row r="248" spans="1:15" hidden="1" x14ac:dyDescent="0.25">
      <c r="A248" s="11" t="s">
        <v>134</v>
      </c>
      <c r="B248" s="11" t="s">
        <v>134</v>
      </c>
      <c r="C248" s="12" t="s">
        <v>134</v>
      </c>
      <c r="D248" s="12" t="s">
        <v>2</v>
      </c>
      <c r="E248" s="13" t="s">
        <v>2</v>
      </c>
      <c r="F248" s="111" t="s">
        <v>2</v>
      </c>
      <c r="G248" s="13" t="s">
        <v>2</v>
      </c>
      <c r="H248" s="14" t="s">
        <v>2</v>
      </c>
      <c r="I248" s="14" t="s">
        <v>21</v>
      </c>
      <c r="J248" s="12" t="s">
        <v>21</v>
      </c>
      <c r="K248" s="15" t="s">
        <v>21</v>
      </c>
      <c r="L248" s="16" t="s">
        <v>21</v>
      </c>
      <c r="M248" s="16" t="s">
        <v>21</v>
      </c>
      <c r="N248" s="58" t="s">
        <v>21</v>
      </c>
      <c r="O248" s="11" t="s">
        <v>23</v>
      </c>
    </row>
    <row r="249" spans="1:15" hidden="1" x14ac:dyDescent="0.25">
      <c r="A249" s="11" t="s">
        <v>4</v>
      </c>
      <c r="B249" s="11" t="s">
        <v>863</v>
      </c>
      <c r="C249" s="12" t="s">
        <v>1138</v>
      </c>
      <c r="D249" s="12" t="s">
        <v>1701</v>
      </c>
      <c r="E249" s="13">
        <v>1</v>
      </c>
      <c r="F249" s="111">
        <v>2512</v>
      </c>
      <c r="G249" s="13" t="s">
        <v>1702</v>
      </c>
      <c r="H249" s="14" t="s">
        <v>274</v>
      </c>
      <c r="I249" s="14" t="s">
        <v>1703</v>
      </c>
      <c r="J249" s="12" t="s">
        <v>661</v>
      </c>
      <c r="K249" s="15" t="s">
        <v>1704</v>
      </c>
      <c r="O249" s="11" t="s">
        <v>1705</v>
      </c>
    </row>
    <row r="250" spans="1:15" hidden="1" x14ac:dyDescent="0.25">
      <c r="A250" s="11" t="s">
        <v>4</v>
      </c>
      <c r="B250" s="11" t="s">
        <v>863</v>
      </c>
      <c r="C250" s="12" t="s">
        <v>1138</v>
      </c>
      <c r="D250" s="12" t="s">
        <v>1706</v>
      </c>
      <c r="E250" s="13">
        <v>1</v>
      </c>
      <c r="F250" s="111">
        <v>2512</v>
      </c>
      <c r="G250" s="13" t="s">
        <v>1707</v>
      </c>
      <c r="H250" s="14" t="s">
        <v>274</v>
      </c>
      <c r="I250" s="14" t="s">
        <v>1708</v>
      </c>
      <c r="J250" s="12" t="s">
        <v>661</v>
      </c>
      <c r="K250" s="15" t="s">
        <v>1709</v>
      </c>
      <c r="O250" s="11" t="s">
        <v>1710</v>
      </c>
    </row>
    <row r="251" spans="1:15" hidden="1" x14ac:dyDescent="0.25">
      <c r="A251" s="11" t="s">
        <v>4</v>
      </c>
      <c r="B251" s="11" t="s">
        <v>863</v>
      </c>
      <c r="C251" s="12" t="s">
        <v>1138</v>
      </c>
      <c r="D251" s="12" t="s">
        <v>1711</v>
      </c>
      <c r="E251" s="13">
        <v>1</v>
      </c>
      <c r="F251" s="111">
        <v>2512</v>
      </c>
      <c r="G251" s="13" t="s">
        <v>1712</v>
      </c>
      <c r="H251" s="14" t="s">
        <v>274</v>
      </c>
      <c r="I251" s="14" t="s">
        <v>1713</v>
      </c>
      <c r="J251" s="12" t="s">
        <v>559</v>
      </c>
      <c r="K251" s="15" t="s">
        <v>1714</v>
      </c>
      <c r="O251" s="11" t="s">
        <v>1715</v>
      </c>
    </row>
    <row r="252" spans="1:15" hidden="1" x14ac:dyDescent="0.25">
      <c r="A252" s="11" t="s">
        <v>4</v>
      </c>
      <c r="B252" s="11" t="s">
        <v>863</v>
      </c>
      <c r="C252" s="12" t="s">
        <v>1138</v>
      </c>
      <c r="D252" s="12" t="s">
        <v>1716</v>
      </c>
      <c r="E252" s="13">
        <v>1</v>
      </c>
      <c r="F252" s="111">
        <v>2512</v>
      </c>
      <c r="G252" s="13" t="s">
        <v>1717</v>
      </c>
      <c r="H252" s="14" t="s">
        <v>274</v>
      </c>
      <c r="I252" s="14" t="s">
        <v>1718</v>
      </c>
      <c r="J252" s="12" t="s">
        <v>661</v>
      </c>
      <c r="K252" s="15" t="s">
        <v>1719</v>
      </c>
      <c r="O252" s="11" t="s">
        <v>1720</v>
      </c>
    </row>
    <row r="253" spans="1:15" hidden="1" x14ac:dyDescent="0.25">
      <c r="A253" s="11" t="s">
        <v>4</v>
      </c>
      <c r="B253" s="11" t="s">
        <v>863</v>
      </c>
      <c r="C253" s="12" t="s">
        <v>1138</v>
      </c>
      <c r="D253" s="12" t="s">
        <v>1721</v>
      </c>
      <c r="E253" s="13">
        <v>1</v>
      </c>
      <c r="F253" s="111">
        <v>2512</v>
      </c>
      <c r="G253" s="13" t="s">
        <v>1722</v>
      </c>
      <c r="H253" s="14" t="s">
        <v>274</v>
      </c>
      <c r="I253" s="14" t="s">
        <v>1723</v>
      </c>
      <c r="J253" s="12" t="s">
        <v>661</v>
      </c>
      <c r="K253" s="15" t="s">
        <v>1724</v>
      </c>
      <c r="O253" s="11" t="s">
        <v>1725</v>
      </c>
    </row>
    <row r="254" spans="1:15" hidden="1" x14ac:dyDescent="0.25">
      <c r="A254" s="11" t="s">
        <v>4</v>
      </c>
      <c r="B254" s="11" t="s">
        <v>863</v>
      </c>
      <c r="C254" s="12" t="s">
        <v>1138</v>
      </c>
      <c r="D254" s="12" t="s">
        <v>1726</v>
      </c>
      <c r="E254" s="13">
        <v>1</v>
      </c>
      <c r="F254" s="111">
        <v>2512</v>
      </c>
      <c r="G254" s="13" t="s">
        <v>1727</v>
      </c>
      <c r="H254" s="14" t="s">
        <v>274</v>
      </c>
      <c r="I254" s="14" t="s">
        <v>1728</v>
      </c>
      <c r="J254" s="12" t="s">
        <v>661</v>
      </c>
      <c r="K254" s="15" t="s">
        <v>1729</v>
      </c>
      <c r="O254" s="11" t="s">
        <v>1730</v>
      </c>
    </row>
    <row r="255" spans="1:15" hidden="1" x14ac:dyDescent="0.25">
      <c r="A255" s="11" t="s">
        <v>134</v>
      </c>
      <c r="B255" s="11" t="s">
        <v>134</v>
      </c>
      <c r="C255" s="12" t="s">
        <v>23</v>
      </c>
      <c r="D255" s="12" t="s">
        <v>2</v>
      </c>
      <c r="E255" s="13" t="s">
        <v>2</v>
      </c>
      <c r="F255" s="111" t="s">
        <v>2</v>
      </c>
      <c r="G255" s="13" t="s">
        <v>2</v>
      </c>
      <c r="H255" s="14" t="s">
        <v>2</v>
      </c>
      <c r="I255" s="14" t="s">
        <v>21</v>
      </c>
      <c r="J255" s="12" t="s">
        <v>21</v>
      </c>
      <c r="K255" s="15" t="s">
        <v>21</v>
      </c>
      <c r="L255" s="16" t="s">
        <v>23</v>
      </c>
      <c r="M255" s="16" t="s">
        <v>21</v>
      </c>
      <c r="N255" s="58" t="s">
        <v>21</v>
      </c>
      <c r="O255" s="11" t="s">
        <v>23</v>
      </c>
    </row>
    <row r="256" spans="1:15" hidden="1" x14ac:dyDescent="0.25">
      <c r="A256" s="11" t="s">
        <v>4</v>
      </c>
      <c r="E256" s="13">
        <v>0</v>
      </c>
      <c r="H256" s="14" t="s">
        <v>110</v>
      </c>
      <c r="I256" s="14" t="s">
        <v>110</v>
      </c>
      <c r="K256" s="15" t="s">
        <v>3171</v>
      </c>
    </row>
    <row r="257" spans="1:15" hidden="1" x14ac:dyDescent="0.25">
      <c r="A257" s="11" t="s">
        <v>4</v>
      </c>
      <c r="H257" s="14" t="s">
        <v>110</v>
      </c>
      <c r="I257" s="14" t="s">
        <v>110</v>
      </c>
      <c r="K257" s="15" t="s">
        <v>654</v>
      </c>
    </row>
    <row r="258" spans="1:15" hidden="1" x14ac:dyDescent="0.25">
      <c r="A258" s="11" t="s">
        <v>4</v>
      </c>
      <c r="H258" s="14" t="s">
        <v>110</v>
      </c>
      <c r="I258" s="14" t="s">
        <v>110</v>
      </c>
      <c r="K258" s="15" t="s">
        <v>655</v>
      </c>
    </row>
    <row r="259" spans="1:15" hidden="1" x14ac:dyDescent="0.25">
      <c r="A259" s="11" t="s">
        <v>4</v>
      </c>
      <c r="H259" s="14" t="s">
        <v>110</v>
      </c>
      <c r="I259" s="14" t="s">
        <v>110</v>
      </c>
      <c r="K259" s="15" t="s">
        <v>656</v>
      </c>
    </row>
    <row r="260" spans="1:15" x14ac:dyDescent="0.25">
      <c r="A260" s="11" t="s">
        <v>4</v>
      </c>
      <c r="B260" s="11" t="s">
        <v>552</v>
      </c>
      <c r="C260" s="12" t="s">
        <v>633</v>
      </c>
      <c r="D260" s="12" t="s">
        <v>634</v>
      </c>
      <c r="E260" s="13">
        <v>1</v>
      </c>
      <c r="F260" s="111">
        <v>1011</v>
      </c>
      <c r="G260" s="13" t="s">
        <v>635</v>
      </c>
      <c r="H260" s="14" t="s">
        <v>554</v>
      </c>
      <c r="I260" s="14" t="s">
        <v>636</v>
      </c>
      <c r="J260" s="12" t="s">
        <v>555</v>
      </c>
      <c r="K260" s="15" t="s">
        <v>637</v>
      </c>
      <c r="O260" s="11" t="s">
        <v>638</v>
      </c>
    </row>
    <row r="261" spans="1:15" hidden="1" x14ac:dyDescent="0.25">
      <c r="A261" s="11" t="s">
        <v>23</v>
      </c>
      <c r="B261" s="11" t="s">
        <v>21</v>
      </c>
      <c r="C261" s="12" t="s">
        <v>23</v>
      </c>
      <c r="D261" s="12" t="s">
        <v>21</v>
      </c>
      <c r="E261" s="13" t="s">
        <v>21</v>
      </c>
      <c r="F261" s="111" t="s">
        <v>21</v>
      </c>
      <c r="G261" s="13" t="s">
        <v>21</v>
      </c>
      <c r="H261" s="14" t="s">
        <v>21</v>
      </c>
      <c r="I261" s="14" t="s">
        <v>21</v>
      </c>
      <c r="J261" s="12" t="s">
        <v>2</v>
      </c>
      <c r="K261" s="15" t="s">
        <v>1</v>
      </c>
      <c r="L261" s="16" t="s">
        <v>134</v>
      </c>
      <c r="M261" s="16" t="s">
        <v>21</v>
      </c>
      <c r="N261" s="58" t="s">
        <v>21</v>
      </c>
      <c r="O261" s="11" t="s">
        <v>21</v>
      </c>
    </row>
    <row r="262" spans="1:15" hidden="1" x14ac:dyDescent="0.25">
      <c r="A262" s="11" t="s">
        <v>134</v>
      </c>
      <c r="B262" s="11" t="s">
        <v>134</v>
      </c>
      <c r="C262" s="12" t="s">
        <v>134</v>
      </c>
      <c r="D262" s="12" t="s">
        <v>2</v>
      </c>
      <c r="E262" s="13" t="s">
        <v>2</v>
      </c>
      <c r="F262" s="111" t="s">
        <v>2</v>
      </c>
      <c r="G262" s="13" t="s">
        <v>2</v>
      </c>
      <c r="H262" s="14" t="s">
        <v>2</v>
      </c>
      <c r="I262" s="14" t="s">
        <v>21</v>
      </c>
      <c r="J262" s="12" t="s">
        <v>21</v>
      </c>
      <c r="K262" s="15" t="s">
        <v>21</v>
      </c>
      <c r="L262" s="16" t="s">
        <v>21</v>
      </c>
      <c r="M262" s="16" t="s">
        <v>23</v>
      </c>
      <c r="N262" s="58" t="s">
        <v>21</v>
      </c>
      <c r="O262" s="11" t="s">
        <v>23</v>
      </c>
    </row>
    <row r="263" spans="1:15" hidden="1" x14ac:dyDescent="0.25">
      <c r="A263" s="11" t="s">
        <v>23</v>
      </c>
      <c r="B263" s="11" t="s">
        <v>21</v>
      </c>
      <c r="C263" s="12" t="s">
        <v>23</v>
      </c>
      <c r="D263" s="12" t="s">
        <v>21</v>
      </c>
      <c r="E263" s="13" t="s">
        <v>21</v>
      </c>
      <c r="F263" s="111" t="s">
        <v>21</v>
      </c>
      <c r="G263" s="13" t="s">
        <v>21</v>
      </c>
      <c r="H263" s="14" t="s">
        <v>21</v>
      </c>
      <c r="I263" s="14" t="s">
        <v>21</v>
      </c>
      <c r="J263" s="12" t="s">
        <v>2</v>
      </c>
      <c r="K263" s="15" t="s">
        <v>1</v>
      </c>
      <c r="L263" s="16" t="s">
        <v>134</v>
      </c>
      <c r="M263" s="16" t="s">
        <v>21</v>
      </c>
      <c r="N263" s="58" t="s">
        <v>21</v>
      </c>
      <c r="O263" s="11" t="s">
        <v>21</v>
      </c>
    </row>
    <row r="264" spans="1:15" hidden="1" x14ac:dyDescent="0.25">
      <c r="A264" s="11" t="s">
        <v>23</v>
      </c>
      <c r="B264" s="11" t="s">
        <v>21</v>
      </c>
      <c r="C264" s="12" t="s">
        <v>23</v>
      </c>
      <c r="D264" s="12" t="s">
        <v>21</v>
      </c>
      <c r="E264" s="13" t="s">
        <v>21</v>
      </c>
      <c r="F264" s="111" t="s">
        <v>21</v>
      </c>
      <c r="G264" s="13" t="s">
        <v>21</v>
      </c>
      <c r="H264" s="14" t="s">
        <v>21</v>
      </c>
      <c r="I264" s="14" t="s">
        <v>21</v>
      </c>
      <c r="J264" s="12" t="s">
        <v>2</v>
      </c>
      <c r="K264" s="15" t="s">
        <v>1</v>
      </c>
      <c r="L264" s="16" t="s">
        <v>134</v>
      </c>
      <c r="M264" s="16" t="s">
        <v>21</v>
      </c>
      <c r="N264" s="58" t="s">
        <v>21</v>
      </c>
      <c r="O264" s="11" t="s">
        <v>21</v>
      </c>
    </row>
    <row r="265" spans="1:15" hidden="1" x14ac:dyDescent="0.25">
      <c r="A265" s="11" t="s">
        <v>134</v>
      </c>
      <c r="B265" s="11" t="s">
        <v>134</v>
      </c>
      <c r="C265" s="12" t="s">
        <v>134</v>
      </c>
      <c r="D265" s="12" t="s">
        <v>2</v>
      </c>
      <c r="E265" s="13" t="s">
        <v>2</v>
      </c>
      <c r="F265" s="111" t="s">
        <v>2</v>
      </c>
      <c r="G265" s="13" t="s">
        <v>2</v>
      </c>
      <c r="H265" s="14" t="s">
        <v>2</v>
      </c>
      <c r="I265" s="14" t="s">
        <v>21</v>
      </c>
      <c r="J265" s="12" t="s">
        <v>21</v>
      </c>
      <c r="K265" s="15" t="s">
        <v>21</v>
      </c>
      <c r="L265" s="16" t="s">
        <v>21</v>
      </c>
      <c r="M265" s="16" t="s">
        <v>23</v>
      </c>
      <c r="N265" s="58" t="s">
        <v>21</v>
      </c>
      <c r="O265" s="11" t="s">
        <v>23</v>
      </c>
    </row>
    <row r="266" spans="1:15" hidden="1" x14ac:dyDescent="0.25">
      <c r="A266" s="11" t="s">
        <v>21</v>
      </c>
      <c r="B266" s="11" t="s">
        <v>21</v>
      </c>
      <c r="C266" s="12" t="s">
        <v>21</v>
      </c>
      <c r="D266" s="12" t="s">
        <v>23</v>
      </c>
      <c r="E266" s="13" t="s">
        <v>21</v>
      </c>
      <c r="F266" s="111" t="s">
        <v>21</v>
      </c>
      <c r="G266" s="13" t="s">
        <v>21</v>
      </c>
      <c r="H266" s="14" t="s">
        <v>21</v>
      </c>
      <c r="I266" s="14" t="s">
        <v>21</v>
      </c>
      <c r="J266" s="12" t="s">
        <v>1</v>
      </c>
      <c r="K266" s="15" t="s">
        <v>134</v>
      </c>
      <c r="L266" s="16" t="s">
        <v>134</v>
      </c>
      <c r="M266" s="16" t="s">
        <v>21</v>
      </c>
      <c r="N266" s="58" t="s">
        <v>21</v>
      </c>
      <c r="O266" s="11" t="s">
        <v>23</v>
      </c>
    </row>
    <row r="267" spans="1:15" hidden="1" x14ac:dyDescent="0.25">
      <c r="A267" s="11" t="s">
        <v>134</v>
      </c>
      <c r="B267" s="11" t="s">
        <v>134</v>
      </c>
      <c r="C267" s="12" t="s">
        <v>134</v>
      </c>
      <c r="D267" s="12" t="s">
        <v>2</v>
      </c>
      <c r="E267" s="13" t="s">
        <v>2</v>
      </c>
      <c r="F267" s="111" t="s">
        <v>2</v>
      </c>
      <c r="G267" s="13" t="s">
        <v>2</v>
      </c>
      <c r="H267" s="14" t="s">
        <v>2</v>
      </c>
      <c r="I267" s="14" t="s">
        <v>21</v>
      </c>
      <c r="J267" s="12" t="s">
        <v>21</v>
      </c>
      <c r="K267" s="15" t="s">
        <v>21</v>
      </c>
      <c r="L267" s="16" t="s">
        <v>21</v>
      </c>
      <c r="M267" s="16" t="s">
        <v>23</v>
      </c>
      <c r="N267" s="58" t="s">
        <v>21</v>
      </c>
      <c r="O267" s="11" t="s">
        <v>23</v>
      </c>
    </row>
    <row r="268" spans="1:15" hidden="1" x14ac:dyDescent="0.25">
      <c r="A268" s="11" t="s">
        <v>21</v>
      </c>
      <c r="B268" s="11" t="s">
        <v>21</v>
      </c>
      <c r="C268" s="12" t="s">
        <v>21</v>
      </c>
      <c r="D268" s="12" t="s">
        <v>21</v>
      </c>
      <c r="E268" s="13" t="s">
        <v>21</v>
      </c>
      <c r="F268" s="111" t="s">
        <v>21</v>
      </c>
      <c r="G268" s="13" t="s">
        <v>21</v>
      </c>
      <c r="H268" s="14" t="s">
        <v>21</v>
      </c>
      <c r="I268" s="14" t="s">
        <v>21</v>
      </c>
      <c r="J268" s="12" t="s">
        <v>1</v>
      </c>
      <c r="K268" s="15" t="s">
        <v>134</v>
      </c>
      <c r="L268" s="16" t="s">
        <v>2</v>
      </c>
      <c r="M268" s="16" t="s">
        <v>21</v>
      </c>
      <c r="N268" s="58" t="s">
        <v>21</v>
      </c>
      <c r="O268" s="11" t="s">
        <v>21</v>
      </c>
    </row>
    <row r="269" spans="1:15" hidden="1" x14ac:dyDescent="0.25">
      <c r="A269" s="11" t="s">
        <v>134</v>
      </c>
      <c r="B269" s="11" t="s">
        <v>134</v>
      </c>
      <c r="C269" s="12" t="s">
        <v>134</v>
      </c>
      <c r="D269" s="12" t="s">
        <v>2</v>
      </c>
      <c r="E269" s="13" t="s">
        <v>2</v>
      </c>
      <c r="F269" s="111" t="s">
        <v>2</v>
      </c>
      <c r="G269" s="13" t="s">
        <v>2</v>
      </c>
      <c r="H269" s="14" t="s">
        <v>2</v>
      </c>
      <c r="I269" s="14" t="s">
        <v>21</v>
      </c>
      <c r="J269" s="12" t="s">
        <v>21</v>
      </c>
      <c r="K269" s="15" t="s">
        <v>21</v>
      </c>
      <c r="L269" s="16" t="s">
        <v>21</v>
      </c>
      <c r="M269" s="16" t="s">
        <v>21</v>
      </c>
      <c r="N269" s="58" t="s">
        <v>21</v>
      </c>
      <c r="O269" s="11" t="s">
        <v>21</v>
      </c>
    </row>
    <row r="270" spans="1:15" hidden="1" x14ac:dyDescent="0.25">
      <c r="A270" s="11" t="s">
        <v>2</v>
      </c>
      <c r="B270" s="11" t="s">
        <v>23</v>
      </c>
      <c r="C270" s="12" t="s">
        <v>21</v>
      </c>
      <c r="D270" s="12" t="s">
        <v>21</v>
      </c>
      <c r="E270" s="13" t="s">
        <v>23</v>
      </c>
      <c r="F270" s="111" t="s">
        <v>21</v>
      </c>
      <c r="G270" s="13" t="s">
        <v>21</v>
      </c>
      <c r="H270" s="14" t="s">
        <v>21</v>
      </c>
      <c r="I270" s="14" t="s">
        <v>21</v>
      </c>
      <c r="J270" s="12" t="s">
        <v>2</v>
      </c>
      <c r="K270" s="15" t="s">
        <v>134</v>
      </c>
      <c r="L270" s="16" t="s">
        <v>2</v>
      </c>
      <c r="M270" s="16" t="s">
        <v>21</v>
      </c>
      <c r="N270" s="58" t="s">
        <v>21</v>
      </c>
      <c r="O270" s="11" t="s">
        <v>21</v>
      </c>
    </row>
    <row r="271" spans="1:15" hidden="1" x14ac:dyDescent="0.25">
      <c r="A271" s="11" t="s">
        <v>2</v>
      </c>
      <c r="B271" s="11" t="s">
        <v>23</v>
      </c>
      <c r="C271" s="12" t="s">
        <v>21</v>
      </c>
      <c r="D271" s="12" t="s">
        <v>21</v>
      </c>
      <c r="E271" s="13" t="s">
        <v>23</v>
      </c>
      <c r="F271" s="111" t="s">
        <v>21</v>
      </c>
      <c r="G271" s="13" t="s">
        <v>23</v>
      </c>
      <c r="H271" s="14" t="s">
        <v>21</v>
      </c>
      <c r="I271" s="14" t="s">
        <v>21</v>
      </c>
      <c r="J271" s="12" t="s">
        <v>2</v>
      </c>
      <c r="K271" s="15" t="s">
        <v>134</v>
      </c>
      <c r="L271" s="16" t="s">
        <v>2</v>
      </c>
      <c r="M271" s="16" t="s">
        <v>21</v>
      </c>
      <c r="N271" s="58" t="s">
        <v>21</v>
      </c>
      <c r="O271" s="11" t="s">
        <v>21</v>
      </c>
    </row>
    <row r="272" spans="1:15" hidden="1" x14ac:dyDescent="0.25">
      <c r="A272" s="11" t="s">
        <v>134</v>
      </c>
      <c r="B272" s="11" t="s">
        <v>134</v>
      </c>
      <c r="C272" s="12" t="s">
        <v>134</v>
      </c>
      <c r="D272" s="12" t="s">
        <v>2</v>
      </c>
      <c r="E272" s="13" t="s">
        <v>2</v>
      </c>
      <c r="F272" s="111" t="s">
        <v>2</v>
      </c>
      <c r="G272" s="13" t="s">
        <v>2</v>
      </c>
      <c r="H272" s="14" t="s">
        <v>2</v>
      </c>
      <c r="I272" s="14" t="s">
        <v>21</v>
      </c>
      <c r="J272" s="12" t="s">
        <v>21</v>
      </c>
      <c r="K272" s="15" t="s">
        <v>21</v>
      </c>
      <c r="L272" s="16" t="s">
        <v>21</v>
      </c>
      <c r="M272" s="16" t="s">
        <v>23</v>
      </c>
      <c r="N272" s="58" t="s">
        <v>21</v>
      </c>
      <c r="O272" s="11" t="s">
        <v>23</v>
      </c>
    </row>
    <row r="273" spans="1:15" hidden="1" x14ac:dyDescent="0.25">
      <c r="A273" s="11" t="s">
        <v>134</v>
      </c>
      <c r="B273" s="11" t="s">
        <v>134</v>
      </c>
      <c r="C273" s="12" t="s">
        <v>134</v>
      </c>
      <c r="D273" s="12" t="s">
        <v>2</v>
      </c>
      <c r="E273" s="13" t="s">
        <v>2</v>
      </c>
      <c r="F273" s="111" t="s">
        <v>2</v>
      </c>
      <c r="G273" s="13" t="s">
        <v>2</v>
      </c>
      <c r="H273" s="14" t="s">
        <v>2</v>
      </c>
      <c r="I273" s="14" t="s">
        <v>21</v>
      </c>
      <c r="J273" s="12" t="s">
        <v>21</v>
      </c>
      <c r="K273" s="15" t="s">
        <v>21</v>
      </c>
      <c r="L273" s="16" t="s">
        <v>21</v>
      </c>
      <c r="M273" s="16" t="s">
        <v>23</v>
      </c>
      <c r="N273" s="58" t="s">
        <v>21</v>
      </c>
      <c r="O273" s="11" t="s">
        <v>23</v>
      </c>
    </row>
    <row r="274" spans="1:15" hidden="1" x14ac:dyDescent="0.25">
      <c r="A274" s="11" t="s">
        <v>2</v>
      </c>
      <c r="B274" s="11" t="s">
        <v>21</v>
      </c>
      <c r="C274" s="12" t="s">
        <v>21</v>
      </c>
      <c r="D274" s="12" t="s">
        <v>21</v>
      </c>
      <c r="E274" s="13" t="s">
        <v>21</v>
      </c>
      <c r="F274" s="111" t="s">
        <v>23</v>
      </c>
      <c r="G274" s="13" t="s">
        <v>21</v>
      </c>
      <c r="H274" s="14" t="s">
        <v>21</v>
      </c>
      <c r="I274" s="14" t="s">
        <v>134</v>
      </c>
      <c r="J274" s="12" t="s">
        <v>2</v>
      </c>
      <c r="K274" s="15" t="s">
        <v>134</v>
      </c>
      <c r="L274" s="16" t="s">
        <v>134</v>
      </c>
      <c r="M274" s="16" t="s">
        <v>21</v>
      </c>
      <c r="N274" s="58" t="s">
        <v>21</v>
      </c>
      <c r="O274" s="11" t="s">
        <v>21</v>
      </c>
    </row>
    <row r="275" spans="1:15" hidden="1" x14ac:dyDescent="0.25">
      <c r="A275" s="11" t="s">
        <v>2</v>
      </c>
      <c r="B275" s="11" t="s">
        <v>21</v>
      </c>
      <c r="C275" s="12" t="s">
        <v>21</v>
      </c>
      <c r="D275" s="12" t="s">
        <v>21</v>
      </c>
      <c r="E275" s="13" t="s">
        <v>21</v>
      </c>
      <c r="F275" s="111" t="s">
        <v>23</v>
      </c>
      <c r="G275" s="13" t="s">
        <v>21</v>
      </c>
      <c r="H275" s="14" t="s">
        <v>21</v>
      </c>
      <c r="I275" s="14" t="s">
        <v>134</v>
      </c>
      <c r="J275" s="12" t="s">
        <v>2</v>
      </c>
      <c r="K275" s="15" t="s">
        <v>134</v>
      </c>
      <c r="L275" s="16" t="s">
        <v>134</v>
      </c>
      <c r="M275" s="16" t="s">
        <v>21</v>
      </c>
      <c r="N275" s="58" t="s">
        <v>21</v>
      </c>
      <c r="O275" s="11" t="s">
        <v>21</v>
      </c>
    </row>
    <row r="276" spans="1:15" hidden="1" x14ac:dyDescent="0.25">
      <c r="A276" s="11" t="s">
        <v>21</v>
      </c>
      <c r="B276" s="11" t="s">
        <v>21</v>
      </c>
      <c r="C276" s="12" t="s">
        <v>21</v>
      </c>
      <c r="D276" s="12" t="s">
        <v>21</v>
      </c>
      <c r="E276" s="13" t="s">
        <v>21</v>
      </c>
      <c r="F276" s="111" t="s">
        <v>23</v>
      </c>
      <c r="G276" s="13" t="s">
        <v>21</v>
      </c>
      <c r="H276" s="14" t="s">
        <v>21</v>
      </c>
      <c r="I276" s="14" t="s">
        <v>21</v>
      </c>
      <c r="J276" s="12" t="s">
        <v>1</v>
      </c>
      <c r="K276" s="15" t="s">
        <v>134</v>
      </c>
      <c r="L276" s="16" t="s">
        <v>2</v>
      </c>
      <c r="M276" s="16" t="s">
        <v>21</v>
      </c>
      <c r="N276" s="58" t="s">
        <v>21</v>
      </c>
      <c r="O276" s="11" t="s">
        <v>21</v>
      </c>
    </row>
    <row r="277" spans="1:15" hidden="1" x14ac:dyDescent="0.25">
      <c r="A277" s="11" t="s">
        <v>134</v>
      </c>
      <c r="B277" s="11" t="s">
        <v>134</v>
      </c>
      <c r="C277" s="12" t="s">
        <v>134</v>
      </c>
      <c r="D277" s="12" t="s">
        <v>2</v>
      </c>
      <c r="E277" s="13" t="s">
        <v>2</v>
      </c>
      <c r="F277" s="111" t="s">
        <v>2</v>
      </c>
      <c r="G277" s="13" t="s">
        <v>2</v>
      </c>
      <c r="H277" s="14" t="s">
        <v>2</v>
      </c>
      <c r="I277" s="14" t="s">
        <v>21</v>
      </c>
      <c r="J277" s="12" t="s">
        <v>21</v>
      </c>
      <c r="K277" s="15" t="s">
        <v>21</v>
      </c>
      <c r="L277" s="16" t="s">
        <v>21</v>
      </c>
      <c r="M277" s="16" t="s">
        <v>23</v>
      </c>
      <c r="N277" s="58" t="s">
        <v>21</v>
      </c>
      <c r="O277" s="11" t="s">
        <v>23</v>
      </c>
    </row>
    <row r="278" spans="1:15" hidden="1" x14ac:dyDescent="0.25">
      <c r="A278" s="11" t="s">
        <v>21</v>
      </c>
      <c r="B278" s="11" t="s">
        <v>21</v>
      </c>
      <c r="C278" s="12" t="s">
        <v>23</v>
      </c>
      <c r="D278" s="12" t="s">
        <v>21</v>
      </c>
      <c r="E278" s="13" t="s">
        <v>23</v>
      </c>
      <c r="F278" s="111" t="s">
        <v>23</v>
      </c>
      <c r="G278" s="13" t="s">
        <v>21</v>
      </c>
      <c r="H278" s="14" t="s">
        <v>21</v>
      </c>
      <c r="I278" s="14" t="s">
        <v>21</v>
      </c>
      <c r="J278" s="12" t="s">
        <v>2</v>
      </c>
      <c r="K278" s="15" t="s">
        <v>1</v>
      </c>
      <c r="L278" s="16" t="s">
        <v>2</v>
      </c>
      <c r="M278" s="16" t="s">
        <v>21</v>
      </c>
      <c r="N278" s="58" t="s">
        <v>21</v>
      </c>
      <c r="O278" s="11" t="s">
        <v>0</v>
      </c>
    </row>
    <row r="279" spans="1:15" hidden="1" x14ac:dyDescent="0.25">
      <c r="A279" s="11" t="s">
        <v>134</v>
      </c>
      <c r="B279" s="11" t="s">
        <v>134</v>
      </c>
      <c r="C279" s="12" t="s">
        <v>134</v>
      </c>
      <c r="D279" s="12" t="s">
        <v>2</v>
      </c>
      <c r="E279" s="13" t="s">
        <v>2</v>
      </c>
      <c r="F279" s="111" t="s">
        <v>2</v>
      </c>
      <c r="G279" s="13" t="s">
        <v>2</v>
      </c>
      <c r="H279" s="14" t="s">
        <v>2</v>
      </c>
      <c r="I279" s="14" t="s">
        <v>21</v>
      </c>
      <c r="J279" s="12" t="s">
        <v>21</v>
      </c>
      <c r="K279" s="15" t="s">
        <v>21</v>
      </c>
      <c r="L279" s="16" t="s">
        <v>21</v>
      </c>
      <c r="M279" s="16" t="s">
        <v>23</v>
      </c>
      <c r="N279" s="58" t="s">
        <v>21</v>
      </c>
      <c r="O279" s="11" t="s">
        <v>23</v>
      </c>
    </row>
    <row r="280" spans="1:15" hidden="1" x14ac:dyDescent="0.25">
      <c r="A280" s="11" t="s">
        <v>21</v>
      </c>
      <c r="B280" s="11" t="s">
        <v>21</v>
      </c>
      <c r="C280" s="12" t="s">
        <v>23</v>
      </c>
      <c r="D280" s="12" t="s">
        <v>21</v>
      </c>
      <c r="E280" s="13" t="s">
        <v>23</v>
      </c>
      <c r="F280" s="111" t="s">
        <v>23</v>
      </c>
      <c r="G280" s="13" t="s">
        <v>21</v>
      </c>
      <c r="H280" s="14" t="s">
        <v>21</v>
      </c>
      <c r="I280" s="14" t="s">
        <v>21</v>
      </c>
      <c r="J280" s="12" t="s">
        <v>2</v>
      </c>
      <c r="K280" s="15" t="s">
        <v>1</v>
      </c>
      <c r="L280" s="16" t="s">
        <v>2</v>
      </c>
      <c r="M280" s="16" t="s">
        <v>21</v>
      </c>
      <c r="N280" s="58" t="s">
        <v>21</v>
      </c>
      <c r="O280" s="11" t="s">
        <v>0</v>
      </c>
    </row>
    <row r="281" spans="1:15" hidden="1" x14ac:dyDescent="0.25">
      <c r="A281" s="11" t="s">
        <v>134</v>
      </c>
      <c r="B281" s="11" t="s">
        <v>134</v>
      </c>
      <c r="C281" s="12" t="s">
        <v>134</v>
      </c>
      <c r="D281" s="12" t="s">
        <v>2</v>
      </c>
      <c r="E281" s="13" t="s">
        <v>2</v>
      </c>
      <c r="F281" s="111" t="s">
        <v>2</v>
      </c>
      <c r="G281" s="13" t="s">
        <v>2</v>
      </c>
      <c r="H281" s="14" t="s">
        <v>2</v>
      </c>
      <c r="I281" s="14" t="s">
        <v>21</v>
      </c>
      <c r="J281" s="12" t="s">
        <v>21</v>
      </c>
      <c r="K281" s="15" t="s">
        <v>21</v>
      </c>
      <c r="L281" s="16" t="s">
        <v>21</v>
      </c>
      <c r="M281" s="16" t="s">
        <v>23</v>
      </c>
      <c r="N281" s="58" t="s">
        <v>21</v>
      </c>
      <c r="O281" s="11" t="s">
        <v>23</v>
      </c>
    </row>
    <row r="282" spans="1:15" hidden="1" x14ac:dyDescent="0.25">
      <c r="A282" s="11" t="s">
        <v>21</v>
      </c>
      <c r="B282" s="11" t="s">
        <v>21</v>
      </c>
      <c r="C282" s="12" t="s">
        <v>23</v>
      </c>
      <c r="D282" s="12" t="s">
        <v>21</v>
      </c>
      <c r="E282" s="13" t="s">
        <v>23</v>
      </c>
      <c r="F282" s="111" t="s">
        <v>23</v>
      </c>
      <c r="G282" s="13" t="s">
        <v>21</v>
      </c>
      <c r="H282" s="14" t="s">
        <v>21</v>
      </c>
      <c r="I282" s="14" t="s">
        <v>21</v>
      </c>
      <c r="J282" s="12" t="s">
        <v>2</v>
      </c>
      <c r="K282" s="15" t="s">
        <v>1</v>
      </c>
      <c r="L282" s="16" t="s">
        <v>2</v>
      </c>
      <c r="M282" s="16" t="s">
        <v>21</v>
      </c>
      <c r="N282" s="58" t="s">
        <v>21</v>
      </c>
      <c r="O282" s="11" t="s">
        <v>0</v>
      </c>
    </row>
    <row r="283" spans="1:15" hidden="1" x14ac:dyDescent="0.25">
      <c r="A283" s="11" t="s">
        <v>21</v>
      </c>
      <c r="B283" s="11" t="s">
        <v>21</v>
      </c>
      <c r="C283" s="12" t="s">
        <v>23</v>
      </c>
      <c r="D283" s="12" t="s">
        <v>21</v>
      </c>
      <c r="E283" s="13" t="s">
        <v>23</v>
      </c>
      <c r="F283" s="111" t="s">
        <v>23</v>
      </c>
      <c r="G283" s="13" t="s">
        <v>21</v>
      </c>
      <c r="H283" s="14" t="s">
        <v>21</v>
      </c>
      <c r="I283" s="14" t="s">
        <v>21</v>
      </c>
      <c r="J283" s="12" t="s">
        <v>2</v>
      </c>
      <c r="K283" s="15" t="s">
        <v>1</v>
      </c>
      <c r="L283" s="16" t="s">
        <v>2</v>
      </c>
      <c r="M283" s="16" t="s">
        <v>21</v>
      </c>
      <c r="N283" s="58" t="s">
        <v>21</v>
      </c>
      <c r="O283" s="11" t="s">
        <v>0</v>
      </c>
    </row>
    <row r="284" spans="1:15" hidden="1" x14ac:dyDescent="0.25">
      <c r="A284" s="11" t="s">
        <v>21</v>
      </c>
      <c r="B284" s="11" t="s">
        <v>21</v>
      </c>
      <c r="C284" s="12" t="s">
        <v>23</v>
      </c>
      <c r="D284" s="12" t="s">
        <v>21</v>
      </c>
      <c r="E284" s="13" t="s">
        <v>23</v>
      </c>
      <c r="F284" s="111" t="s">
        <v>23</v>
      </c>
      <c r="G284" s="13" t="s">
        <v>21</v>
      </c>
      <c r="H284" s="14" t="s">
        <v>21</v>
      </c>
      <c r="I284" s="14" t="s">
        <v>21</v>
      </c>
      <c r="J284" s="12" t="s">
        <v>2</v>
      </c>
      <c r="K284" s="15" t="s">
        <v>1</v>
      </c>
      <c r="L284" s="16" t="s">
        <v>2</v>
      </c>
      <c r="M284" s="16" t="s">
        <v>21</v>
      </c>
      <c r="N284" s="58" t="s">
        <v>21</v>
      </c>
      <c r="O284" s="11" t="s">
        <v>0</v>
      </c>
    </row>
    <row r="285" spans="1:15" hidden="1" x14ac:dyDescent="0.25">
      <c r="A285" s="11" t="s">
        <v>134</v>
      </c>
      <c r="B285" s="11" t="s">
        <v>134</v>
      </c>
      <c r="C285" s="12" t="s">
        <v>134</v>
      </c>
      <c r="D285" s="12" t="s">
        <v>2</v>
      </c>
      <c r="E285" s="13" t="s">
        <v>2</v>
      </c>
      <c r="F285" s="111" t="s">
        <v>2</v>
      </c>
      <c r="G285" s="13" t="s">
        <v>2</v>
      </c>
      <c r="H285" s="14" t="s">
        <v>2</v>
      </c>
      <c r="I285" s="14" t="s">
        <v>21</v>
      </c>
      <c r="J285" s="12" t="s">
        <v>21</v>
      </c>
      <c r="K285" s="15" t="s">
        <v>21</v>
      </c>
      <c r="L285" s="16" t="s">
        <v>21</v>
      </c>
      <c r="M285" s="16" t="s">
        <v>23</v>
      </c>
      <c r="N285" s="58" t="s">
        <v>21</v>
      </c>
      <c r="O285" s="11" t="s">
        <v>23</v>
      </c>
    </row>
    <row r="286" spans="1:15" hidden="1" x14ac:dyDescent="0.25">
      <c r="A286" s="11" t="s">
        <v>21</v>
      </c>
      <c r="B286" s="11" t="s">
        <v>657</v>
      </c>
      <c r="C286" s="12" t="s">
        <v>42</v>
      </c>
      <c r="D286" s="12" t="s">
        <v>658</v>
      </c>
      <c r="E286" s="13">
        <v>1</v>
      </c>
      <c r="F286" s="111">
        <v>4112</v>
      </c>
      <c r="G286" s="13" t="s">
        <v>659</v>
      </c>
      <c r="H286" s="14" t="s">
        <v>274</v>
      </c>
      <c r="I286" s="14" t="s">
        <v>660</v>
      </c>
      <c r="J286" s="12" t="s">
        <v>661</v>
      </c>
      <c r="K286" s="15" t="s">
        <v>3264</v>
      </c>
      <c r="O286" s="11" t="s">
        <v>3263</v>
      </c>
    </row>
    <row r="287" spans="1:15" hidden="1" x14ac:dyDescent="0.25">
      <c r="A287" s="11" t="s">
        <v>21</v>
      </c>
      <c r="B287" s="11" t="s">
        <v>657</v>
      </c>
      <c r="C287" s="12" t="s">
        <v>42</v>
      </c>
      <c r="D287" s="12" t="s">
        <v>658</v>
      </c>
      <c r="E287" s="13">
        <v>1</v>
      </c>
      <c r="F287" s="111">
        <v>4112</v>
      </c>
      <c r="G287" s="13" t="s">
        <v>659</v>
      </c>
      <c r="H287" s="14" t="s">
        <v>274</v>
      </c>
      <c r="I287" s="14" t="s">
        <v>660</v>
      </c>
      <c r="J287" s="12" t="s">
        <v>661</v>
      </c>
      <c r="K287" s="15" t="s">
        <v>3264</v>
      </c>
      <c r="O287" s="11" t="s">
        <v>3263</v>
      </c>
    </row>
    <row r="288" spans="1:15" hidden="1" x14ac:dyDescent="0.25">
      <c r="A288" s="11" t="s">
        <v>21</v>
      </c>
      <c r="B288" s="11" t="s">
        <v>657</v>
      </c>
      <c r="C288" s="12" t="s">
        <v>42</v>
      </c>
      <c r="D288" s="12" t="s">
        <v>658</v>
      </c>
      <c r="E288" s="13">
        <v>1</v>
      </c>
      <c r="F288" s="111">
        <v>4112</v>
      </c>
      <c r="G288" s="13" t="s">
        <v>659</v>
      </c>
      <c r="H288" s="14" t="s">
        <v>274</v>
      </c>
      <c r="I288" s="14" t="s">
        <v>660</v>
      </c>
      <c r="J288" s="12" t="s">
        <v>661</v>
      </c>
      <c r="K288" s="15" t="s">
        <v>3264</v>
      </c>
      <c r="O288" s="11" t="s">
        <v>3263</v>
      </c>
    </row>
    <row r="289" spans="1:15" hidden="1" x14ac:dyDescent="0.25">
      <c r="A289" s="11" t="s">
        <v>23</v>
      </c>
      <c r="B289" s="11" t="s">
        <v>657</v>
      </c>
      <c r="C289" s="12" t="s">
        <v>42</v>
      </c>
      <c r="D289" s="12" t="s">
        <v>3265</v>
      </c>
      <c r="E289" s="13">
        <v>1</v>
      </c>
      <c r="F289" s="111">
        <v>4112</v>
      </c>
      <c r="G289" s="13" t="s">
        <v>3266</v>
      </c>
      <c r="H289" s="14" t="s">
        <v>274</v>
      </c>
      <c r="I289" s="14" t="s">
        <v>3267</v>
      </c>
      <c r="J289" s="12" t="s">
        <v>661</v>
      </c>
      <c r="K289" s="15" t="s">
        <v>3268</v>
      </c>
      <c r="O289" s="11" t="s">
        <v>3263</v>
      </c>
    </row>
    <row r="290" spans="1:15" hidden="1" x14ac:dyDescent="0.25">
      <c r="A290" s="11" t="s">
        <v>21</v>
      </c>
      <c r="B290" s="11" t="s">
        <v>657</v>
      </c>
      <c r="C290" s="12" t="s">
        <v>42</v>
      </c>
      <c r="D290" s="12" t="s">
        <v>658</v>
      </c>
      <c r="E290" s="13">
        <v>1</v>
      </c>
      <c r="F290" s="111">
        <v>4112</v>
      </c>
      <c r="G290" s="13" t="s">
        <v>659</v>
      </c>
      <c r="H290" s="14" t="s">
        <v>274</v>
      </c>
      <c r="I290" s="14" t="s">
        <v>660</v>
      </c>
      <c r="J290" s="12" t="s">
        <v>661</v>
      </c>
      <c r="K290" s="15" t="s">
        <v>3264</v>
      </c>
      <c r="O290" s="11" t="s">
        <v>3263</v>
      </c>
    </row>
    <row r="291" spans="1:15" hidden="1" x14ac:dyDescent="0.25">
      <c r="A291" s="11" t="s">
        <v>21</v>
      </c>
      <c r="B291" s="11" t="s">
        <v>657</v>
      </c>
      <c r="C291" s="12" t="s">
        <v>42</v>
      </c>
      <c r="D291" s="12" t="s">
        <v>658</v>
      </c>
      <c r="E291" s="13">
        <v>1</v>
      </c>
      <c r="F291" s="111">
        <v>4112</v>
      </c>
      <c r="G291" s="13" t="s">
        <v>659</v>
      </c>
      <c r="H291" s="14" t="s">
        <v>274</v>
      </c>
      <c r="I291" s="14" t="s">
        <v>660</v>
      </c>
      <c r="J291" s="12" t="s">
        <v>661</v>
      </c>
      <c r="K291" s="15" t="s">
        <v>3264</v>
      </c>
      <c r="O291" s="11" t="s">
        <v>3263</v>
      </c>
    </row>
    <row r="292" spans="1:15" hidden="1" x14ac:dyDescent="0.25">
      <c r="A292" s="11" t="s">
        <v>23</v>
      </c>
      <c r="B292" s="11" t="s">
        <v>657</v>
      </c>
      <c r="C292" s="12" t="s">
        <v>42</v>
      </c>
      <c r="D292" s="12" t="s">
        <v>3265</v>
      </c>
      <c r="E292" s="13">
        <v>1</v>
      </c>
      <c r="F292" s="111">
        <v>4112</v>
      </c>
      <c r="G292" s="13" t="s">
        <v>3266</v>
      </c>
      <c r="H292" s="14" t="s">
        <v>274</v>
      </c>
      <c r="I292" s="14" t="s">
        <v>3267</v>
      </c>
      <c r="J292" s="12" t="s">
        <v>661</v>
      </c>
      <c r="K292" s="15" t="s">
        <v>3268</v>
      </c>
      <c r="O292" s="11" t="s">
        <v>3263</v>
      </c>
    </row>
    <row r="293" spans="1:15" hidden="1" x14ac:dyDescent="0.25">
      <c r="A293" s="11" t="s">
        <v>2</v>
      </c>
      <c r="D293" s="12" t="s">
        <v>435</v>
      </c>
      <c r="G293" s="13" t="s">
        <v>436</v>
      </c>
      <c r="H293" s="14" t="s">
        <v>283</v>
      </c>
      <c r="I293" s="14" t="s">
        <v>437</v>
      </c>
      <c r="K293" s="15" t="s">
        <v>3269</v>
      </c>
      <c r="O293" s="11" t="s">
        <v>3263</v>
      </c>
    </row>
    <row r="294" spans="1:15" hidden="1" x14ac:dyDescent="0.25">
      <c r="A294" s="11" t="s">
        <v>134</v>
      </c>
      <c r="B294" s="11" t="s">
        <v>134</v>
      </c>
      <c r="C294" s="12" t="s">
        <v>134</v>
      </c>
      <c r="D294" s="12" t="s">
        <v>2</v>
      </c>
      <c r="E294" s="13" t="s">
        <v>2</v>
      </c>
      <c r="F294" s="111" t="s">
        <v>2</v>
      </c>
      <c r="G294" s="13" t="s">
        <v>2</v>
      </c>
      <c r="H294" s="14" t="s">
        <v>2</v>
      </c>
      <c r="I294" s="14" t="s">
        <v>21</v>
      </c>
      <c r="J294" s="12" t="s">
        <v>21</v>
      </c>
      <c r="K294" s="15" t="s">
        <v>21</v>
      </c>
      <c r="L294" s="16" t="s">
        <v>21</v>
      </c>
      <c r="M294" s="16" t="s">
        <v>23</v>
      </c>
      <c r="N294" s="58" t="s">
        <v>21</v>
      </c>
      <c r="O294" s="11" t="s">
        <v>23</v>
      </c>
    </row>
    <row r="295" spans="1:15" x14ac:dyDescent="0.25">
      <c r="A295" s="11" t="s">
        <v>21</v>
      </c>
      <c r="B295" s="11" t="s">
        <v>552</v>
      </c>
      <c r="C295" s="12" t="s">
        <v>553</v>
      </c>
      <c r="D295" s="12" t="s">
        <v>556</v>
      </c>
      <c r="E295" s="13">
        <v>1</v>
      </c>
      <c r="F295" s="111">
        <v>1211</v>
      </c>
      <c r="G295" s="13" t="s">
        <v>557</v>
      </c>
      <c r="H295" s="14" t="s">
        <v>274</v>
      </c>
      <c r="I295" s="14" t="s">
        <v>558</v>
      </c>
      <c r="J295" s="12" t="s">
        <v>559</v>
      </c>
      <c r="K295" s="15" t="s">
        <v>560</v>
      </c>
      <c r="O295" s="11" t="s">
        <v>561</v>
      </c>
    </row>
    <row r="296" spans="1:15" x14ac:dyDescent="0.25">
      <c r="A296" s="11" t="s">
        <v>21</v>
      </c>
      <c r="B296" s="11" t="s">
        <v>552</v>
      </c>
      <c r="C296" s="12" t="s">
        <v>553</v>
      </c>
      <c r="D296" s="12" t="s">
        <v>563</v>
      </c>
      <c r="E296" s="13">
        <v>1</v>
      </c>
      <c r="F296" s="111">
        <v>1211</v>
      </c>
      <c r="G296" s="13" t="s">
        <v>564</v>
      </c>
      <c r="H296" s="14" t="s">
        <v>274</v>
      </c>
      <c r="I296" s="14" t="s">
        <v>565</v>
      </c>
      <c r="J296" s="12" t="s">
        <v>559</v>
      </c>
      <c r="K296" s="15" t="s">
        <v>566</v>
      </c>
      <c r="O296" s="11" t="s">
        <v>567</v>
      </c>
    </row>
    <row r="297" spans="1:15" x14ac:dyDescent="0.25">
      <c r="A297" s="11" t="s">
        <v>21</v>
      </c>
      <c r="B297" s="11" t="s">
        <v>552</v>
      </c>
      <c r="C297" s="12" t="s">
        <v>553</v>
      </c>
      <c r="D297" s="12" t="s">
        <v>568</v>
      </c>
      <c r="E297" s="13">
        <v>1</v>
      </c>
      <c r="F297" s="111">
        <v>1211</v>
      </c>
      <c r="G297" s="13" t="s">
        <v>569</v>
      </c>
      <c r="H297" s="14" t="s">
        <v>554</v>
      </c>
      <c r="I297" s="14" t="s">
        <v>570</v>
      </c>
      <c r="J297" s="12" t="s">
        <v>555</v>
      </c>
      <c r="K297" s="15" t="s">
        <v>571</v>
      </c>
      <c r="O297" s="11" t="s">
        <v>572</v>
      </c>
    </row>
    <row r="298" spans="1:15" x14ac:dyDescent="0.25">
      <c r="A298" s="11" t="s">
        <v>21</v>
      </c>
      <c r="B298" s="11" t="s">
        <v>552</v>
      </c>
      <c r="C298" s="12" t="s">
        <v>553</v>
      </c>
      <c r="D298" s="12" t="s">
        <v>582</v>
      </c>
      <c r="E298" s="13">
        <v>1</v>
      </c>
      <c r="F298" s="111">
        <v>1211</v>
      </c>
      <c r="G298" s="13" t="s">
        <v>583</v>
      </c>
      <c r="H298" s="14" t="s">
        <v>554</v>
      </c>
      <c r="I298" s="14" t="s">
        <v>584</v>
      </c>
      <c r="J298" s="12" t="s">
        <v>555</v>
      </c>
      <c r="K298" s="15" t="s">
        <v>585</v>
      </c>
      <c r="O298" s="11" t="s">
        <v>586</v>
      </c>
    </row>
    <row r="299" spans="1:15" x14ac:dyDescent="0.25">
      <c r="A299" s="11" t="s">
        <v>21</v>
      </c>
      <c r="B299" s="11" t="s">
        <v>552</v>
      </c>
      <c r="C299" s="12" t="s">
        <v>553</v>
      </c>
      <c r="D299" s="12" t="s">
        <v>587</v>
      </c>
      <c r="E299" s="13">
        <v>1</v>
      </c>
      <c r="F299" s="111">
        <v>1211</v>
      </c>
      <c r="G299" s="13" t="s">
        <v>595</v>
      </c>
      <c r="H299" s="14" t="s">
        <v>554</v>
      </c>
      <c r="I299" s="14" t="s">
        <v>596</v>
      </c>
      <c r="J299" s="12" t="s">
        <v>555</v>
      </c>
      <c r="K299" s="15" t="s">
        <v>597</v>
      </c>
      <c r="O299" s="11" t="s">
        <v>591</v>
      </c>
    </row>
    <row r="300" spans="1:15" hidden="1" x14ac:dyDescent="0.25">
      <c r="A300" s="11" t="s">
        <v>134</v>
      </c>
      <c r="B300" s="11" t="s">
        <v>134</v>
      </c>
      <c r="C300" s="12" t="s">
        <v>134</v>
      </c>
      <c r="D300" s="12" t="s">
        <v>2</v>
      </c>
      <c r="E300" s="13" t="s">
        <v>2</v>
      </c>
      <c r="F300" s="111" t="s">
        <v>2</v>
      </c>
      <c r="G300" s="13" t="s">
        <v>2</v>
      </c>
      <c r="H300" s="14" t="s">
        <v>2</v>
      </c>
      <c r="I300" s="14" t="s">
        <v>21</v>
      </c>
      <c r="J300" s="12" t="s">
        <v>21</v>
      </c>
      <c r="K300" s="15" t="s">
        <v>21</v>
      </c>
      <c r="L300" s="16" t="s">
        <v>21</v>
      </c>
      <c r="M300" s="16" t="s">
        <v>23</v>
      </c>
      <c r="N300" s="58" t="s">
        <v>21</v>
      </c>
      <c r="O300" s="11" t="s">
        <v>23</v>
      </c>
    </row>
    <row r="301" spans="1:15" x14ac:dyDescent="0.25">
      <c r="A301" s="11" t="s">
        <v>21</v>
      </c>
      <c r="B301" s="11" t="s">
        <v>552</v>
      </c>
      <c r="C301" s="12" t="s">
        <v>553</v>
      </c>
      <c r="D301" s="12" t="s">
        <v>601</v>
      </c>
      <c r="E301" s="13">
        <v>1</v>
      </c>
      <c r="F301" s="111">
        <v>1211</v>
      </c>
      <c r="G301" s="13" t="s">
        <v>602</v>
      </c>
      <c r="H301" s="14" t="s">
        <v>554</v>
      </c>
      <c r="I301" s="14" t="s">
        <v>603</v>
      </c>
      <c r="J301" s="12" t="s">
        <v>555</v>
      </c>
      <c r="K301" s="15" t="s">
        <v>604</v>
      </c>
      <c r="O301" s="11" t="s">
        <v>605</v>
      </c>
    </row>
    <row r="302" spans="1:15" x14ac:dyDescent="0.25">
      <c r="A302" s="11" t="s">
        <v>21</v>
      </c>
      <c r="B302" s="11" t="s">
        <v>552</v>
      </c>
      <c r="C302" s="12" t="s">
        <v>553</v>
      </c>
      <c r="D302" s="12" t="s">
        <v>606</v>
      </c>
      <c r="E302" s="13">
        <v>1</v>
      </c>
      <c r="F302" s="111">
        <v>1211</v>
      </c>
      <c r="G302" s="13" t="s">
        <v>607</v>
      </c>
      <c r="H302" s="14" t="s">
        <v>554</v>
      </c>
      <c r="I302" s="14" t="s">
        <v>608</v>
      </c>
      <c r="J302" s="12" t="s">
        <v>555</v>
      </c>
      <c r="K302" s="15" t="s">
        <v>609</v>
      </c>
      <c r="O302" s="11" t="s">
        <v>610</v>
      </c>
    </row>
    <row r="303" spans="1:15" x14ac:dyDescent="0.25">
      <c r="A303" s="11" t="s">
        <v>21</v>
      </c>
      <c r="B303" s="11" t="s">
        <v>552</v>
      </c>
      <c r="C303" s="12" t="s">
        <v>553</v>
      </c>
      <c r="D303" s="12" t="s">
        <v>611</v>
      </c>
      <c r="E303" s="13">
        <v>1</v>
      </c>
      <c r="F303" s="111">
        <v>1211</v>
      </c>
      <c r="G303" s="13" t="s">
        <v>612</v>
      </c>
      <c r="H303" s="14" t="s">
        <v>554</v>
      </c>
      <c r="I303" s="14" t="s">
        <v>613</v>
      </c>
      <c r="J303" s="12" t="s">
        <v>555</v>
      </c>
      <c r="K303" s="15" t="s">
        <v>614</v>
      </c>
      <c r="O303" s="11" t="s">
        <v>615</v>
      </c>
    </row>
    <row r="304" spans="1:15" x14ac:dyDescent="0.25">
      <c r="A304" s="11" t="s">
        <v>21</v>
      </c>
      <c r="B304" s="11" t="s">
        <v>552</v>
      </c>
      <c r="C304" s="12" t="s">
        <v>553</v>
      </c>
      <c r="D304" s="12" t="s">
        <v>616</v>
      </c>
      <c r="E304" s="13">
        <v>1</v>
      </c>
      <c r="F304" s="111">
        <v>1211</v>
      </c>
      <c r="G304" s="13" t="s">
        <v>617</v>
      </c>
      <c r="H304" s="14" t="s">
        <v>554</v>
      </c>
      <c r="I304" s="14" t="s">
        <v>618</v>
      </c>
      <c r="J304" s="12" t="s">
        <v>555</v>
      </c>
      <c r="K304" s="15" t="s">
        <v>619</v>
      </c>
      <c r="O304" s="11" t="s">
        <v>620</v>
      </c>
    </row>
    <row r="305" spans="1:15" x14ac:dyDescent="0.25">
      <c r="A305" s="11" t="s">
        <v>21</v>
      </c>
      <c r="B305" s="11" t="s">
        <v>552</v>
      </c>
      <c r="C305" s="12" t="s">
        <v>553</v>
      </c>
      <c r="D305" s="12" t="s">
        <v>621</v>
      </c>
      <c r="E305" s="13">
        <v>1</v>
      </c>
      <c r="F305" s="111">
        <v>1211</v>
      </c>
      <c r="G305" s="13" t="s">
        <v>622</v>
      </c>
      <c r="H305" s="14" t="s">
        <v>554</v>
      </c>
      <c r="I305" s="14" t="s">
        <v>623</v>
      </c>
      <c r="J305" s="12" t="s">
        <v>555</v>
      </c>
      <c r="K305" s="15" t="s">
        <v>624</v>
      </c>
      <c r="O305" s="11" t="s">
        <v>625</v>
      </c>
    </row>
    <row r="306" spans="1:15" x14ac:dyDescent="0.25">
      <c r="A306" s="11" t="s">
        <v>21</v>
      </c>
      <c r="B306" s="11" t="s">
        <v>552</v>
      </c>
      <c r="C306" s="12" t="s">
        <v>553</v>
      </c>
      <c r="D306" s="12" t="s">
        <v>626</v>
      </c>
      <c r="E306" s="13">
        <v>1</v>
      </c>
      <c r="F306" s="111">
        <v>1211</v>
      </c>
      <c r="G306" s="13" t="s">
        <v>627</v>
      </c>
      <c r="H306" s="14" t="s">
        <v>554</v>
      </c>
      <c r="I306" s="14" t="s">
        <v>628</v>
      </c>
      <c r="J306" s="12" t="s">
        <v>555</v>
      </c>
      <c r="K306" s="15" t="s">
        <v>629</v>
      </c>
      <c r="O306" s="11" t="s">
        <v>630</v>
      </c>
    </row>
    <row r="307" spans="1:15" hidden="1" x14ac:dyDescent="0.25">
      <c r="A307" s="11" t="s">
        <v>134</v>
      </c>
      <c r="B307" s="11" t="s">
        <v>134</v>
      </c>
      <c r="C307" s="12" t="s">
        <v>134</v>
      </c>
      <c r="D307" s="12" t="s">
        <v>2</v>
      </c>
      <c r="E307" s="13" t="s">
        <v>2</v>
      </c>
      <c r="F307" s="111" t="s">
        <v>2</v>
      </c>
      <c r="G307" s="13" t="s">
        <v>2</v>
      </c>
      <c r="H307" s="14" t="s">
        <v>2</v>
      </c>
      <c r="I307" s="14" t="s">
        <v>21</v>
      </c>
      <c r="J307" s="12" t="s">
        <v>21</v>
      </c>
      <c r="K307" s="15" t="s">
        <v>21</v>
      </c>
      <c r="L307" s="16" t="s">
        <v>21</v>
      </c>
      <c r="M307" s="16" t="s">
        <v>23</v>
      </c>
      <c r="N307" s="58" t="s">
        <v>21</v>
      </c>
      <c r="O307" s="11" t="s">
        <v>23</v>
      </c>
    </row>
    <row r="308" spans="1:15" x14ac:dyDescent="0.25">
      <c r="A308" s="11" t="s">
        <v>21</v>
      </c>
      <c r="B308" s="11" t="s">
        <v>552</v>
      </c>
      <c r="C308" s="12" t="s">
        <v>553</v>
      </c>
      <c r="D308" s="12" t="s">
        <v>556</v>
      </c>
      <c r="E308" s="13">
        <v>2</v>
      </c>
      <c r="F308" s="111">
        <v>1211</v>
      </c>
      <c r="G308" s="13" t="s">
        <v>576</v>
      </c>
      <c r="H308" s="14" t="s">
        <v>554</v>
      </c>
      <c r="I308" s="14" t="s">
        <v>577</v>
      </c>
      <c r="J308" s="12" t="s">
        <v>555</v>
      </c>
      <c r="K308" s="15" t="s">
        <v>578</v>
      </c>
      <c r="O308" s="11" t="s">
        <v>561</v>
      </c>
    </row>
    <row r="309" spans="1:15" x14ac:dyDescent="0.25">
      <c r="A309" s="11" t="s">
        <v>21</v>
      </c>
      <c r="B309" s="11" t="s">
        <v>552</v>
      </c>
      <c r="C309" s="12" t="s">
        <v>553</v>
      </c>
      <c r="D309" s="12" t="s">
        <v>587</v>
      </c>
      <c r="E309" s="13">
        <v>2</v>
      </c>
      <c r="F309" s="111">
        <v>1211</v>
      </c>
      <c r="G309" s="13" t="s">
        <v>592</v>
      </c>
      <c r="H309" s="14" t="s">
        <v>554</v>
      </c>
      <c r="I309" s="14" t="s">
        <v>593</v>
      </c>
      <c r="J309" s="12" t="s">
        <v>555</v>
      </c>
      <c r="K309" s="15" t="s">
        <v>594</v>
      </c>
      <c r="O309" s="11" t="s">
        <v>591</v>
      </c>
    </row>
    <row r="310" spans="1:15" x14ac:dyDescent="0.25">
      <c r="A310" s="11" t="s">
        <v>21</v>
      </c>
      <c r="B310" s="11" t="s">
        <v>552</v>
      </c>
      <c r="C310" s="12" t="s">
        <v>553</v>
      </c>
      <c r="D310" s="12" t="s">
        <v>568</v>
      </c>
      <c r="E310" s="13">
        <v>2</v>
      </c>
      <c r="F310" s="111">
        <v>1211</v>
      </c>
      <c r="G310" s="13" t="s">
        <v>598</v>
      </c>
      <c r="H310" s="14" t="s">
        <v>554</v>
      </c>
      <c r="I310" s="14" t="s">
        <v>599</v>
      </c>
      <c r="J310" s="12" t="s">
        <v>555</v>
      </c>
      <c r="K310" s="15" t="s">
        <v>600</v>
      </c>
      <c r="O310" s="11" t="s">
        <v>572</v>
      </c>
    </row>
    <row r="311" spans="1:15" x14ac:dyDescent="0.25">
      <c r="A311" s="11" t="s">
        <v>21</v>
      </c>
      <c r="B311" s="11" t="s">
        <v>552</v>
      </c>
      <c r="C311" s="12" t="s">
        <v>553</v>
      </c>
      <c r="D311" s="12" t="s">
        <v>568</v>
      </c>
      <c r="E311" s="13">
        <v>3</v>
      </c>
      <c r="F311" s="111">
        <v>1211</v>
      </c>
      <c r="G311" s="13" t="s">
        <v>573</v>
      </c>
      <c r="H311" s="14" t="s">
        <v>554</v>
      </c>
      <c r="I311" s="14" t="s">
        <v>574</v>
      </c>
      <c r="J311" s="12" t="s">
        <v>555</v>
      </c>
      <c r="K311" s="15" t="s">
        <v>575</v>
      </c>
      <c r="O311" s="11" t="s">
        <v>572</v>
      </c>
    </row>
    <row r="312" spans="1:15" hidden="1" x14ac:dyDescent="0.25">
      <c r="A312" s="11" t="s">
        <v>134</v>
      </c>
      <c r="B312" s="11" t="s">
        <v>134</v>
      </c>
      <c r="C312" s="12" t="s">
        <v>134</v>
      </c>
      <c r="D312" s="12" t="s">
        <v>2</v>
      </c>
      <c r="E312" s="13" t="s">
        <v>2</v>
      </c>
      <c r="F312" s="111" t="s">
        <v>2</v>
      </c>
      <c r="G312" s="13" t="s">
        <v>2</v>
      </c>
      <c r="H312" s="14" t="s">
        <v>2</v>
      </c>
      <c r="I312" s="14" t="s">
        <v>21</v>
      </c>
      <c r="J312" s="12" t="s">
        <v>21</v>
      </c>
      <c r="K312" s="15" t="s">
        <v>21</v>
      </c>
      <c r="L312" s="16" t="s">
        <v>21</v>
      </c>
      <c r="M312" s="16" t="s">
        <v>23</v>
      </c>
      <c r="N312" s="58" t="s">
        <v>21</v>
      </c>
      <c r="O312" s="11" t="s">
        <v>23</v>
      </c>
    </row>
    <row r="313" spans="1:15" x14ac:dyDescent="0.25">
      <c r="A313" s="11" t="s">
        <v>21</v>
      </c>
      <c r="B313" s="11" t="s">
        <v>552</v>
      </c>
      <c r="C313" s="12" t="s">
        <v>553</v>
      </c>
      <c r="D313" s="12" t="s">
        <v>556</v>
      </c>
      <c r="E313" s="13">
        <v>3</v>
      </c>
      <c r="F313" s="111">
        <v>1211</v>
      </c>
      <c r="G313" s="13" t="s">
        <v>579</v>
      </c>
      <c r="H313" s="14" t="s">
        <v>274</v>
      </c>
      <c r="I313" s="14" t="s">
        <v>580</v>
      </c>
      <c r="J313" s="12" t="s">
        <v>559</v>
      </c>
      <c r="K313" s="15" t="s">
        <v>581</v>
      </c>
      <c r="O313" s="11" t="s">
        <v>561</v>
      </c>
    </row>
    <row r="314" spans="1:15" x14ac:dyDescent="0.25">
      <c r="A314" s="11" t="s">
        <v>21</v>
      </c>
      <c r="B314" s="11" t="s">
        <v>552</v>
      </c>
      <c r="C314" s="12" t="s">
        <v>553</v>
      </c>
      <c r="D314" s="12" t="s">
        <v>587</v>
      </c>
      <c r="E314" s="13">
        <v>3</v>
      </c>
      <c r="F314" s="111">
        <v>1211</v>
      </c>
      <c r="G314" s="13" t="s">
        <v>588</v>
      </c>
      <c r="H314" s="14" t="s">
        <v>554</v>
      </c>
      <c r="I314" s="14" t="s">
        <v>589</v>
      </c>
      <c r="J314" s="12" t="s">
        <v>555</v>
      </c>
      <c r="K314" s="15" t="s">
        <v>590</v>
      </c>
      <c r="O314" s="11" t="s">
        <v>591</v>
      </c>
    </row>
    <row r="315" spans="1:15" hidden="1" x14ac:dyDescent="0.25">
      <c r="A315" s="11" t="s">
        <v>134</v>
      </c>
      <c r="B315" s="11" t="s">
        <v>134</v>
      </c>
      <c r="C315" s="12" t="s">
        <v>134</v>
      </c>
      <c r="D315" s="12" t="s">
        <v>2</v>
      </c>
      <c r="E315" s="13" t="s">
        <v>2</v>
      </c>
      <c r="F315" s="111" t="s">
        <v>2</v>
      </c>
      <c r="G315" s="13" t="s">
        <v>2</v>
      </c>
      <c r="H315" s="14" t="s">
        <v>2</v>
      </c>
      <c r="I315" s="14" t="s">
        <v>21</v>
      </c>
      <c r="J315" s="12" t="s">
        <v>21</v>
      </c>
      <c r="K315" s="15" t="s">
        <v>21</v>
      </c>
      <c r="L315" s="16" t="s">
        <v>21</v>
      </c>
      <c r="M315" s="16" t="s">
        <v>23</v>
      </c>
      <c r="N315" s="58" t="s">
        <v>21</v>
      </c>
      <c r="O315" s="11" t="s">
        <v>23</v>
      </c>
    </row>
    <row r="316" spans="1:15" hidden="1" x14ac:dyDescent="0.25">
      <c r="A316" s="11" t="s">
        <v>21</v>
      </c>
      <c r="B316" s="11" t="s">
        <v>845</v>
      </c>
      <c r="C316" s="12" t="s">
        <v>870</v>
      </c>
      <c r="D316" s="12" t="s">
        <v>871</v>
      </c>
      <c r="E316" s="13">
        <v>1</v>
      </c>
      <c r="F316" s="111">
        <v>2003</v>
      </c>
      <c r="G316" s="13" t="s">
        <v>872</v>
      </c>
      <c r="H316" s="14" t="s">
        <v>554</v>
      </c>
      <c r="I316" s="14" t="s">
        <v>873</v>
      </c>
      <c r="J316" s="12" t="s">
        <v>555</v>
      </c>
      <c r="K316" s="15" t="s">
        <v>874</v>
      </c>
      <c r="O316" s="11" t="s">
        <v>875</v>
      </c>
    </row>
    <row r="317" spans="1:15" hidden="1" x14ac:dyDescent="0.25">
      <c r="A317" s="11" t="s">
        <v>21</v>
      </c>
      <c r="B317" s="11" t="s">
        <v>845</v>
      </c>
      <c r="C317" s="12" t="s">
        <v>870</v>
      </c>
      <c r="D317" s="12" t="s">
        <v>876</v>
      </c>
      <c r="E317" s="13">
        <v>1</v>
      </c>
      <c r="F317" s="111">
        <v>2003</v>
      </c>
      <c r="G317" s="13" t="s">
        <v>877</v>
      </c>
      <c r="H317" s="14" t="s">
        <v>554</v>
      </c>
      <c r="I317" s="14" t="s">
        <v>878</v>
      </c>
      <c r="J317" s="12" t="s">
        <v>555</v>
      </c>
      <c r="K317" s="15" t="s">
        <v>879</v>
      </c>
      <c r="O317" s="11" t="s">
        <v>880</v>
      </c>
    </row>
    <row r="318" spans="1:15" hidden="1" x14ac:dyDescent="0.25">
      <c r="A318" s="11" t="s">
        <v>23</v>
      </c>
      <c r="B318" s="11" t="s">
        <v>845</v>
      </c>
      <c r="C318" s="12" t="s">
        <v>870</v>
      </c>
      <c r="D318" s="12" t="s">
        <v>881</v>
      </c>
      <c r="E318" s="13">
        <v>1</v>
      </c>
      <c r="F318" s="111">
        <v>2003</v>
      </c>
      <c r="G318" s="13" t="s">
        <v>882</v>
      </c>
      <c r="H318" s="14" t="s">
        <v>554</v>
      </c>
      <c r="I318" s="14" t="s">
        <v>883</v>
      </c>
      <c r="J318" s="12" t="s">
        <v>555</v>
      </c>
      <c r="K318" s="15" t="s">
        <v>884</v>
      </c>
      <c r="O318" s="11" t="s">
        <v>885</v>
      </c>
    </row>
    <row r="319" spans="1:15" hidden="1" x14ac:dyDescent="0.25">
      <c r="A319" s="11" t="s">
        <v>21</v>
      </c>
      <c r="B319" s="11" t="s">
        <v>845</v>
      </c>
      <c r="C319" s="12" t="s">
        <v>870</v>
      </c>
      <c r="D319" s="12" t="s">
        <v>886</v>
      </c>
      <c r="E319" s="13">
        <v>1</v>
      </c>
      <c r="F319" s="111">
        <v>2003</v>
      </c>
      <c r="G319" s="13" t="s">
        <v>887</v>
      </c>
      <c r="H319" s="14" t="s">
        <v>554</v>
      </c>
      <c r="I319" s="14" t="s">
        <v>888</v>
      </c>
      <c r="J319" s="12" t="s">
        <v>555</v>
      </c>
      <c r="K319" s="15" t="s">
        <v>889</v>
      </c>
      <c r="O319" s="11" t="s">
        <v>890</v>
      </c>
    </row>
    <row r="320" spans="1:15" hidden="1" x14ac:dyDescent="0.25">
      <c r="A320" s="11" t="s">
        <v>23</v>
      </c>
      <c r="B320" s="11" t="s">
        <v>845</v>
      </c>
      <c r="C320" s="12" t="s">
        <v>870</v>
      </c>
      <c r="D320" s="12" t="s">
        <v>891</v>
      </c>
      <c r="E320" s="13">
        <v>1</v>
      </c>
      <c r="F320" s="111">
        <v>2003</v>
      </c>
      <c r="G320" s="13" t="s">
        <v>892</v>
      </c>
      <c r="H320" s="14" t="s">
        <v>554</v>
      </c>
      <c r="I320" s="14" t="s">
        <v>893</v>
      </c>
      <c r="J320" s="12" t="s">
        <v>555</v>
      </c>
      <c r="K320" s="15" t="s">
        <v>894</v>
      </c>
      <c r="O320" s="11" t="s">
        <v>895</v>
      </c>
    </row>
    <row r="321" spans="1:15" hidden="1" x14ac:dyDescent="0.25">
      <c r="A321" s="11" t="s">
        <v>21</v>
      </c>
      <c r="B321" s="11" t="s">
        <v>845</v>
      </c>
      <c r="C321" s="12" t="s">
        <v>870</v>
      </c>
      <c r="D321" s="12" t="s">
        <v>899</v>
      </c>
      <c r="E321" s="13">
        <v>1</v>
      </c>
      <c r="F321" s="111">
        <v>2003</v>
      </c>
      <c r="G321" s="13" t="s">
        <v>900</v>
      </c>
      <c r="H321" s="14" t="s">
        <v>554</v>
      </c>
      <c r="I321" s="14" t="s">
        <v>901</v>
      </c>
      <c r="J321" s="12" t="s">
        <v>555</v>
      </c>
      <c r="K321" s="15" t="s">
        <v>902</v>
      </c>
      <c r="O321" s="11" t="s">
        <v>903</v>
      </c>
    </row>
    <row r="322" spans="1:15" hidden="1" x14ac:dyDescent="0.25">
      <c r="A322" s="11" t="s">
        <v>23</v>
      </c>
      <c r="B322" s="11" t="s">
        <v>845</v>
      </c>
      <c r="C322" s="12" t="s">
        <v>870</v>
      </c>
      <c r="D322" s="12" t="s">
        <v>904</v>
      </c>
      <c r="E322" s="13">
        <v>1</v>
      </c>
      <c r="F322" s="111">
        <v>2003</v>
      </c>
      <c r="G322" s="13" t="s">
        <v>905</v>
      </c>
      <c r="H322" s="14" t="s">
        <v>554</v>
      </c>
      <c r="I322" s="14" t="s">
        <v>906</v>
      </c>
      <c r="J322" s="12" t="s">
        <v>555</v>
      </c>
      <c r="K322" s="15" t="s">
        <v>907</v>
      </c>
      <c r="O322" s="11" t="s">
        <v>908</v>
      </c>
    </row>
    <row r="323" spans="1:15" hidden="1" x14ac:dyDescent="0.25">
      <c r="A323" s="11" t="s">
        <v>21</v>
      </c>
      <c r="B323" s="11" t="s">
        <v>845</v>
      </c>
      <c r="C323" s="12" t="s">
        <v>870</v>
      </c>
      <c r="D323" s="12" t="s">
        <v>909</v>
      </c>
      <c r="E323" s="13">
        <v>1</v>
      </c>
      <c r="F323" s="111">
        <v>2003</v>
      </c>
      <c r="G323" s="13" t="s">
        <v>910</v>
      </c>
      <c r="H323" s="14" t="s">
        <v>554</v>
      </c>
      <c r="I323" s="14" t="s">
        <v>911</v>
      </c>
      <c r="J323" s="12" t="s">
        <v>555</v>
      </c>
      <c r="K323" s="15" t="s">
        <v>912</v>
      </c>
      <c r="O323" s="11" t="s">
        <v>913</v>
      </c>
    </row>
    <row r="324" spans="1:15" hidden="1" x14ac:dyDescent="0.25">
      <c r="A324" s="11" t="s">
        <v>23</v>
      </c>
      <c r="B324" s="11" t="s">
        <v>845</v>
      </c>
      <c r="C324" s="12" t="s">
        <v>870</v>
      </c>
      <c r="D324" s="12" t="s">
        <v>914</v>
      </c>
      <c r="E324" s="13">
        <v>1</v>
      </c>
      <c r="F324" s="111">
        <v>2003</v>
      </c>
      <c r="G324" s="13" t="s">
        <v>915</v>
      </c>
      <c r="H324" s="14" t="s">
        <v>554</v>
      </c>
      <c r="I324" s="14" t="s">
        <v>916</v>
      </c>
      <c r="J324" s="12" t="s">
        <v>555</v>
      </c>
      <c r="K324" s="15" t="s">
        <v>917</v>
      </c>
      <c r="O324" s="11" t="s">
        <v>918</v>
      </c>
    </row>
    <row r="325" spans="1:15" hidden="1" x14ac:dyDescent="0.25">
      <c r="A325" s="11" t="s">
        <v>21</v>
      </c>
      <c r="B325" s="11" t="s">
        <v>845</v>
      </c>
      <c r="C325" s="12" t="s">
        <v>870</v>
      </c>
      <c r="D325" s="12" t="s">
        <v>919</v>
      </c>
      <c r="E325" s="13">
        <v>1</v>
      </c>
      <c r="F325" s="111">
        <v>2003</v>
      </c>
      <c r="G325" s="13" t="s">
        <v>920</v>
      </c>
      <c r="H325" s="14" t="s">
        <v>554</v>
      </c>
      <c r="I325" s="14" t="s">
        <v>921</v>
      </c>
      <c r="J325" s="12" t="s">
        <v>555</v>
      </c>
      <c r="K325" s="15" t="s">
        <v>922</v>
      </c>
      <c r="O325" s="11" t="s">
        <v>923</v>
      </c>
    </row>
    <row r="326" spans="1:15" hidden="1" x14ac:dyDescent="0.25">
      <c r="A326" s="11" t="s">
        <v>23</v>
      </c>
      <c r="B326" s="11" t="s">
        <v>845</v>
      </c>
      <c r="C326" s="12" t="s">
        <v>870</v>
      </c>
      <c r="D326" s="12" t="s">
        <v>924</v>
      </c>
      <c r="E326" s="13">
        <v>1</v>
      </c>
      <c r="F326" s="111">
        <v>2003</v>
      </c>
      <c r="G326" s="13" t="s">
        <v>925</v>
      </c>
      <c r="H326" s="14" t="s">
        <v>554</v>
      </c>
      <c r="I326" s="14" t="s">
        <v>926</v>
      </c>
      <c r="J326" s="12" t="s">
        <v>555</v>
      </c>
      <c r="K326" s="15" t="s">
        <v>927</v>
      </c>
      <c r="O326" s="11" t="s">
        <v>928</v>
      </c>
    </row>
    <row r="327" spans="1:15" hidden="1" x14ac:dyDescent="0.25">
      <c r="A327" s="11" t="s">
        <v>21</v>
      </c>
      <c r="B327" s="11" t="s">
        <v>845</v>
      </c>
      <c r="C327" s="12" t="s">
        <v>870</v>
      </c>
      <c r="D327" s="12" t="s">
        <v>929</v>
      </c>
      <c r="E327" s="13">
        <v>1</v>
      </c>
      <c r="F327" s="111">
        <v>2003</v>
      </c>
      <c r="G327" s="13" t="s">
        <v>930</v>
      </c>
      <c r="H327" s="14" t="s">
        <v>554</v>
      </c>
      <c r="I327" s="14" t="s">
        <v>931</v>
      </c>
      <c r="J327" s="12" t="s">
        <v>555</v>
      </c>
      <c r="K327" s="15" t="s">
        <v>932</v>
      </c>
      <c r="O327" s="11" t="s">
        <v>933</v>
      </c>
    </row>
    <row r="328" spans="1:15" hidden="1" x14ac:dyDescent="0.25">
      <c r="A328" s="11" t="s">
        <v>23</v>
      </c>
      <c r="B328" s="11" t="s">
        <v>845</v>
      </c>
      <c r="C328" s="12" t="s">
        <v>870</v>
      </c>
      <c r="D328" s="12" t="s">
        <v>934</v>
      </c>
      <c r="E328" s="13">
        <v>1</v>
      </c>
      <c r="F328" s="111">
        <v>2003</v>
      </c>
      <c r="G328" s="13" t="s">
        <v>935</v>
      </c>
      <c r="H328" s="14" t="s">
        <v>554</v>
      </c>
      <c r="I328" s="14" t="s">
        <v>936</v>
      </c>
      <c r="J328" s="12" t="s">
        <v>555</v>
      </c>
      <c r="K328" s="15" t="s">
        <v>937</v>
      </c>
      <c r="O328" s="11" t="s">
        <v>938</v>
      </c>
    </row>
    <row r="329" spans="1:15" hidden="1" x14ac:dyDescent="0.25">
      <c r="A329" s="11" t="s">
        <v>21</v>
      </c>
      <c r="B329" s="11" t="s">
        <v>845</v>
      </c>
      <c r="C329" s="12" t="s">
        <v>870</v>
      </c>
      <c r="D329" s="12" t="s">
        <v>939</v>
      </c>
      <c r="E329" s="13">
        <v>1</v>
      </c>
      <c r="F329" s="111">
        <v>2003</v>
      </c>
      <c r="G329" s="13" t="s">
        <v>940</v>
      </c>
      <c r="H329" s="14" t="s">
        <v>554</v>
      </c>
      <c r="I329" s="14" t="s">
        <v>941</v>
      </c>
      <c r="J329" s="12" t="s">
        <v>555</v>
      </c>
      <c r="K329" s="15" t="s">
        <v>942</v>
      </c>
      <c r="O329" s="11" t="s">
        <v>943</v>
      </c>
    </row>
    <row r="330" spans="1:15" hidden="1" x14ac:dyDescent="0.25">
      <c r="A330" s="11" t="s">
        <v>23</v>
      </c>
      <c r="B330" s="11" t="s">
        <v>845</v>
      </c>
      <c r="C330" s="12" t="s">
        <v>870</v>
      </c>
      <c r="D330" s="12" t="s">
        <v>944</v>
      </c>
      <c r="E330" s="13">
        <v>1</v>
      </c>
      <c r="F330" s="111">
        <v>2003</v>
      </c>
      <c r="G330" s="13" t="s">
        <v>945</v>
      </c>
      <c r="H330" s="14" t="s">
        <v>554</v>
      </c>
      <c r="I330" s="14" t="s">
        <v>946</v>
      </c>
      <c r="J330" s="12" t="s">
        <v>555</v>
      </c>
      <c r="K330" s="15" t="s">
        <v>947</v>
      </c>
      <c r="O330" s="11" t="s">
        <v>948</v>
      </c>
    </row>
    <row r="331" spans="1:15" hidden="1" x14ac:dyDescent="0.25">
      <c r="A331" s="11" t="s">
        <v>21</v>
      </c>
      <c r="B331" s="11" t="s">
        <v>845</v>
      </c>
      <c r="C331" s="12" t="s">
        <v>870</v>
      </c>
      <c r="D331" s="12" t="s">
        <v>949</v>
      </c>
      <c r="E331" s="13">
        <v>1</v>
      </c>
      <c r="F331" s="111">
        <v>2003</v>
      </c>
      <c r="G331" s="13" t="s">
        <v>950</v>
      </c>
      <c r="H331" s="14" t="s">
        <v>554</v>
      </c>
      <c r="I331" s="14" t="s">
        <v>951</v>
      </c>
      <c r="J331" s="12" t="s">
        <v>555</v>
      </c>
      <c r="K331" s="15" t="s">
        <v>952</v>
      </c>
      <c r="O331" s="11" t="s">
        <v>953</v>
      </c>
    </row>
    <row r="332" spans="1:15" hidden="1" x14ac:dyDescent="0.25">
      <c r="A332" s="11" t="s">
        <v>23</v>
      </c>
      <c r="B332" s="11" t="s">
        <v>845</v>
      </c>
      <c r="C332" s="12" t="s">
        <v>870</v>
      </c>
      <c r="D332" s="12" t="s">
        <v>954</v>
      </c>
      <c r="E332" s="13">
        <v>1</v>
      </c>
      <c r="F332" s="111">
        <v>2003</v>
      </c>
      <c r="G332" s="13" t="s">
        <v>955</v>
      </c>
      <c r="H332" s="14" t="s">
        <v>554</v>
      </c>
      <c r="I332" s="14" t="s">
        <v>956</v>
      </c>
      <c r="J332" s="12" t="s">
        <v>555</v>
      </c>
      <c r="K332" s="15" t="s">
        <v>957</v>
      </c>
      <c r="O332" s="11" t="s">
        <v>958</v>
      </c>
    </row>
    <row r="333" spans="1:15" hidden="1" x14ac:dyDescent="0.25">
      <c r="A333" s="11" t="s">
        <v>21</v>
      </c>
      <c r="B333" s="11" t="s">
        <v>845</v>
      </c>
      <c r="C333" s="12" t="s">
        <v>870</v>
      </c>
      <c r="D333" s="12" t="s">
        <v>639</v>
      </c>
      <c r="E333" s="13">
        <v>1</v>
      </c>
      <c r="F333" s="111">
        <v>2003</v>
      </c>
      <c r="G333" s="13" t="s">
        <v>965</v>
      </c>
      <c r="H333" s="14" t="s">
        <v>554</v>
      </c>
      <c r="I333" s="14" t="s">
        <v>966</v>
      </c>
      <c r="J333" s="12" t="s">
        <v>555</v>
      </c>
      <c r="K333" s="15" t="s">
        <v>967</v>
      </c>
      <c r="O333" s="11" t="s">
        <v>968</v>
      </c>
    </row>
    <row r="334" spans="1:15" hidden="1" x14ac:dyDescent="0.25">
      <c r="A334" s="11" t="s">
        <v>23</v>
      </c>
      <c r="B334" s="11" t="s">
        <v>845</v>
      </c>
      <c r="C334" s="12" t="s">
        <v>870</v>
      </c>
      <c r="D334" s="12" t="s">
        <v>891</v>
      </c>
      <c r="E334" s="13">
        <v>2</v>
      </c>
      <c r="F334" s="111">
        <v>2003</v>
      </c>
      <c r="G334" s="13" t="s">
        <v>896</v>
      </c>
      <c r="H334" s="14" t="s">
        <v>554</v>
      </c>
      <c r="I334" s="14" t="s">
        <v>897</v>
      </c>
      <c r="J334" s="12" t="s">
        <v>555</v>
      </c>
      <c r="K334" s="15" t="s">
        <v>898</v>
      </c>
      <c r="O334" s="11" t="s">
        <v>895</v>
      </c>
    </row>
    <row r="335" spans="1:15" hidden="1" x14ac:dyDescent="0.25">
      <c r="A335" s="11" t="s">
        <v>23</v>
      </c>
      <c r="B335" s="11" t="s">
        <v>845</v>
      </c>
      <c r="C335" s="12" t="s">
        <v>870</v>
      </c>
      <c r="D335" s="12" t="s">
        <v>954</v>
      </c>
      <c r="E335" s="13">
        <v>2</v>
      </c>
      <c r="F335" s="111">
        <v>2003</v>
      </c>
      <c r="G335" s="13" t="s">
        <v>959</v>
      </c>
      <c r="H335" s="14" t="s">
        <v>554</v>
      </c>
      <c r="I335" s="14" t="s">
        <v>960</v>
      </c>
      <c r="J335" s="12" t="s">
        <v>555</v>
      </c>
      <c r="K335" s="15" t="s">
        <v>961</v>
      </c>
      <c r="O335" s="11" t="s">
        <v>958</v>
      </c>
    </row>
    <row r="336" spans="1:15" hidden="1" x14ac:dyDescent="0.25">
      <c r="A336" s="11" t="s">
        <v>23</v>
      </c>
      <c r="B336" s="11" t="s">
        <v>845</v>
      </c>
      <c r="C336" s="12" t="s">
        <v>870</v>
      </c>
      <c r="D336" s="12" t="s">
        <v>954</v>
      </c>
      <c r="E336" s="13">
        <v>3</v>
      </c>
      <c r="F336" s="111">
        <v>2003</v>
      </c>
      <c r="G336" s="13" t="s">
        <v>962</v>
      </c>
      <c r="H336" s="14" t="s">
        <v>554</v>
      </c>
      <c r="I336" s="14" t="s">
        <v>963</v>
      </c>
      <c r="J336" s="12" t="s">
        <v>555</v>
      </c>
      <c r="K336" s="15" t="s">
        <v>964</v>
      </c>
      <c r="O336" s="11" t="s">
        <v>958</v>
      </c>
    </row>
    <row r="337" spans="1:15" hidden="1" x14ac:dyDescent="0.25">
      <c r="A337" s="11" t="s">
        <v>21</v>
      </c>
      <c r="B337" s="11" t="s">
        <v>845</v>
      </c>
      <c r="C337" s="12" t="s">
        <v>846</v>
      </c>
      <c r="D337" s="12" t="s">
        <v>852</v>
      </c>
      <c r="E337" s="13">
        <v>1</v>
      </c>
      <c r="F337" s="111">
        <v>2006</v>
      </c>
      <c r="G337" s="13" t="s">
        <v>860</v>
      </c>
      <c r="H337" s="14" t="s">
        <v>554</v>
      </c>
      <c r="I337" s="14" t="s">
        <v>861</v>
      </c>
      <c r="J337" s="12" t="s">
        <v>555</v>
      </c>
      <c r="K337" s="15" t="s">
        <v>862</v>
      </c>
      <c r="O337" s="11" t="s">
        <v>856</v>
      </c>
    </row>
    <row r="338" spans="1:15" hidden="1" x14ac:dyDescent="0.25">
      <c r="A338" s="11" t="s">
        <v>21</v>
      </c>
      <c r="B338" s="11" t="s">
        <v>845</v>
      </c>
      <c r="C338" s="12" t="s">
        <v>846</v>
      </c>
      <c r="D338" s="12" t="s">
        <v>852</v>
      </c>
      <c r="E338" s="13">
        <v>2</v>
      </c>
      <c r="F338" s="111">
        <v>2006</v>
      </c>
      <c r="G338" s="13" t="s">
        <v>857</v>
      </c>
      <c r="H338" s="14" t="s">
        <v>554</v>
      </c>
      <c r="I338" s="14" t="s">
        <v>858</v>
      </c>
      <c r="J338" s="12" t="s">
        <v>555</v>
      </c>
      <c r="K338" s="15" t="s">
        <v>859</v>
      </c>
      <c r="O338" s="11" t="s">
        <v>856</v>
      </c>
    </row>
    <row r="339" spans="1:15" hidden="1" x14ac:dyDescent="0.25">
      <c r="A339" s="11" t="s">
        <v>21</v>
      </c>
      <c r="B339" s="11" t="s">
        <v>845</v>
      </c>
      <c r="C339" s="12" t="s">
        <v>846</v>
      </c>
      <c r="D339" s="12" t="s">
        <v>852</v>
      </c>
      <c r="E339" s="13">
        <v>3</v>
      </c>
      <c r="F339" s="111">
        <v>2006</v>
      </c>
      <c r="G339" s="13" t="s">
        <v>853</v>
      </c>
      <c r="H339" s="14" t="s">
        <v>554</v>
      </c>
      <c r="I339" s="14" t="s">
        <v>854</v>
      </c>
      <c r="J339" s="12" t="s">
        <v>555</v>
      </c>
      <c r="K339" s="15" t="s">
        <v>855</v>
      </c>
      <c r="O339" s="11" t="s">
        <v>856</v>
      </c>
    </row>
    <row r="340" spans="1:15" hidden="1" x14ac:dyDescent="0.25">
      <c r="A340" s="11" t="s">
        <v>21</v>
      </c>
      <c r="B340" s="11" t="s">
        <v>863</v>
      </c>
      <c r="C340" s="12" t="s">
        <v>633</v>
      </c>
      <c r="D340" s="12" t="s">
        <v>1255</v>
      </c>
      <c r="E340" s="13">
        <v>1</v>
      </c>
      <c r="F340" s="111">
        <v>2011</v>
      </c>
      <c r="G340" s="13" t="s">
        <v>1256</v>
      </c>
      <c r="H340" s="14" t="s">
        <v>274</v>
      </c>
      <c r="I340" s="14" t="s">
        <v>1257</v>
      </c>
      <c r="J340" s="12" t="s">
        <v>972</v>
      </c>
      <c r="K340" s="15" t="s">
        <v>1258</v>
      </c>
      <c r="O340" s="11" t="s">
        <v>1259</v>
      </c>
    </row>
    <row r="341" spans="1:15" hidden="1" x14ac:dyDescent="0.25">
      <c r="A341" s="11" t="s">
        <v>21</v>
      </c>
      <c r="B341" s="11" t="s">
        <v>863</v>
      </c>
      <c r="C341" s="12" t="s">
        <v>633</v>
      </c>
      <c r="D341" s="12" t="s">
        <v>1260</v>
      </c>
      <c r="E341" s="13">
        <v>1</v>
      </c>
      <c r="F341" s="111">
        <v>2011</v>
      </c>
      <c r="G341" s="13" t="s">
        <v>1261</v>
      </c>
      <c r="H341" s="14" t="s">
        <v>274</v>
      </c>
      <c r="I341" s="14" t="s">
        <v>1262</v>
      </c>
      <c r="J341" s="12" t="s">
        <v>972</v>
      </c>
      <c r="K341" s="15" t="s">
        <v>1263</v>
      </c>
      <c r="O341" s="11" t="s">
        <v>1264</v>
      </c>
    </row>
    <row r="342" spans="1:15" hidden="1" x14ac:dyDescent="0.25">
      <c r="A342" s="11" t="s">
        <v>21</v>
      </c>
      <c r="B342" s="11" t="s">
        <v>863</v>
      </c>
      <c r="C342" s="12" t="s">
        <v>633</v>
      </c>
      <c r="D342" s="12" t="s">
        <v>1806</v>
      </c>
      <c r="E342" s="13">
        <v>1</v>
      </c>
      <c r="F342" s="111">
        <v>2011</v>
      </c>
      <c r="G342" s="13" t="s">
        <v>1807</v>
      </c>
      <c r="H342" s="14" t="s">
        <v>274</v>
      </c>
      <c r="I342" s="14" t="s">
        <v>1808</v>
      </c>
      <c r="J342" s="12" t="s">
        <v>972</v>
      </c>
      <c r="K342" s="15" t="s">
        <v>1809</v>
      </c>
      <c r="O342" s="11" t="s">
        <v>1810</v>
      </c>
    </row>
    <row r="343" spans="1:15" hidden="1" x14ac:dyDescent="0.25">
      <c r="A343" s="11" t="s">
        <v>21</v>
      </c>
      <c r="B343" s="11" t="s">
        <v>863</v>
      </c>
      <c r="C343" s="12" t="s">
        <v>633</v>
      </c>
      <c r="D343" s="12" t="s">
        <v>870</v>
      </c>
      <c r="E343" s="13">
        <v>1</v>
      </c>
      <c r="F343" s="111">
        <v>2011</v>
      </c>
      <c r="G343" s="13" t="s">
        <v>1811</v>
      </c>
      <c r="H343" s="14" t="s">
        <v>274</v>
      </c>
      <c r="I343" s="14" t="s">
        <v>1812</v>
      </c>
      <c r="J343" s="12" t="s">
        <v>661</v>
      </c>
      <c r="K343" s="15" t="s">
        <v>1813</v>
      </c>
      <c r="O343" s="11" t="s">
        <v>1814</v>
      </c>
    </row>
    <row r="344" spans="1:15" hidden="1" x14ac:dyDescent="0.25">
      <c r="A344" s="11" t="s">
        <v>21</v>
      </c>
      <c r="B344" s="11" t="s">
        <v>863</v>
      </c>
      <c r="C344" s="12" t="s">
        <v>633</v>
      </c>
      <c r="D344" s="12" t="s">
        <v>1815</v>
      </c>
      <c r="E344" s="13">
        <v>1</v>
      </c>
      <c r="F344" s="111">
        <v>2011</v>
      </c>
      <c r="G344" s="13" t="s">
        <v>1816</v>
      </c>
      <c r="H344" s="14" t="s">
        <v>274</v>
      </c>
      <c r="I344" s="14" t="s">
        <v>1817</v>
      </c>
      <c r="J344" s="12" t="s">
        <v>661</v>
      </c>
      <c r="K344" s="15" t="s">
        <v>1818</v>
      </c>
      <c r="O344" s="11" t="s">
        <v>1819</v>
      </c>
    </row>
    <row r="345" spans="1:15" hidden="1" x14ac:dyDescent="0.25">
      <c r="A345" s="11" t="s">
        <v>21</v>
      </c>
      <c r="B345" s="11" t="s">
        <v>863</v>
      </c>
      <c r="C345" s="12" t="s">
        <v>633</v>
      </c>
      <c r="D345" s="12" t="s">
        <v>1820</v>
      </c>
      <c r="E345" s="13">
        <v>1</v>
      </c>
      <c r="F345" s="111">
        <v>2011</v>
      </c>
      <c r="G345" s="13" t="s">
        <v>1821</v>
      </c>
      <c r="H345" s="14" t="s">
        <v>274</v>
      </c>
      <c r="I345" s="14" t="s">
        <v>1822</v>
      </c>
      <c r="J345" s="12" t="s">
        <v>661</v>
      </c>
      <c r="K345" s="15" t="s">
        <v>1823</v>
      </c>
      <c r="O345" s="11" t="s">
        <v>1824</v>
      </c>
    </row>
    <row r="346" spans="1:15" hidden="1" x14ac:dyDescent="0.25">
      <c r="A346" s="11" t="s">
        <v>21</v>
      </c>
      <c r="B346" s="11" t="s">
        <v>863</v>
      </c>
      <c r="C346" s="12" t="s">
        <v>633</v>
      </c>
      <c r="D346" s="12" t="s">
        <v>1825</v>
      </c>
      <c r="E346" s="13">
        <v>1</v>
      </c>
      <c r="F346" s="111">
        <v>2011</v>
      </c>
      <c r="G346" s="13" t="s">
        <v>1826</v>
      </c>
      <c r="H346" s="14" t="s">
        <v>274</v>
      </c>
      <c r="I346" s="14" t="s">
        <v>1827</v>
      </c>
      <c r="J346" s="12" t="s">
        <v>972</v>
      </c>
      <c r="K346" s="15" t="s">
        <v>1828</v>
      </c>
      <c r="O346" s="11" t="s">
        <v>1829</v>
      </c>
    </row>
    <row r="347" spans="1:15" hidden="1" x14ac:dyDescent="0.25">
      <c r="A347" s="11" t="s">
        <v>21</v>
      </c>
      <c r="B347" s="11" t="s">
        <v>863</v>
      </c>
      <c r="C347" s="12" t="s">
        <v>633</v>
      </c>
      <c r="D347" s="12" t="s">
        <v>642</v>
      </c>
      <c r="E347" s="13">
        <v>1</v>
      </c>
      <c r="F347" s="111">
        <v>2011</v>
      </c>
      <c r="G347" s="13" t="s">
        <v>1830</v>
      </c>
      <c r="H347" s="14" t="s">
        <v>274</v>
      </c>
      <c r="I347" s="14" t="s">
        <v>1831</v>
      </c>
      <c r="J347" s="12" t="s">
        <v>661</v>
      </c>
      <c r="K347" s="15" t="s">
        <v>1832</v>
      </c>
      <c r="O347" s="11" t="s">
        <v>1833</v>
      </c>
    </row>
    <row r="348" spans="1:15" hidden="1" x14ac:dyDescent="0.25">
      <c r="A348" s="11" t="s">
        <v>21</v>
      </c>
      <c r="B348" s="11" t="s">
        <v>863</v>
      </c>
      <c r="C348" s="12" t="s">
        <v>633</v>
      </c>
      <c r="D348" s="12" t="s">
        <v>1834</v>
      </c>
      <c r="E348" s="13">
        <v>1</v>
      </c>
      <c r="F348" s="111">
        <v>2011</v>
      </c>
      <c r="G348" s="13" t="s">
        <v>1835</v>
      </c>
      <c r="H348" s="14" t="s">
        <v>274</v>
      </c>
      <c r="I348" s="14" t="s">
        <v>1836</v>
      </c>
      <c r="J348" s="12" t="s">
        <v>661</v>
      </c>
      <c r="K348" s="15" t="s">
        <v>1837</v>
      </c>
      <c r="O348" s="11" t="s">
        <v>1838</v>
      </c>
    </row>
    <row r="349" spans="1:15" hidden="1" x14ac:dyDescent="0.25">
      <c r="A349" s="11" t="s">
        <v>21</v>
      </c>
      <c r="B349" s="11" t="s">
        <v>863</v>
      </c>
      <c r="C349" s="12" t="s">
        <v>633</v>
      </c>
      <c r="D349" s="12" t="s">
        <v>1839</v>
      </c>
      <c r="E349" s="13">
        <v>1</v>
      </c>
      <c r="F349" s="111">
        <v>2011</v>
      </c>
      <c r="G349" s="13" t="s">
        <v>1840</v>
      </c>
      <c r="H349" s="14" t="s">
        <v>274</v>
      </c>
      <c r="I349" s="14" t="s">
        <v>1841</v>
      </c>
      <c r="J349" s="12" t="s">
        <v>661</v>
      </c>
      <c r="K349" s="15" t="s">
        <v>1842</v>
      </c>
      <c r="O349" s="11" t="s">
        <v>1843</v>
      </c>
    </row>
    <row r="350" spans="1:15" hidden="1" x14ac:dyDescent="0.25">
      <c r="A350" s="11" t="s">
        <v>21</v>
      </c>
      <c r="B350" s="11" t="s">
        <v>863</v>
      </c>
      <c r="C350" s="12" t="s">
        <v>633</v>
      </c>
      <c r="D350" s="12" t="s">
        <v>1844</v>
      </c>
      <c r="E350" s="13">
        <v>1</v>
      </c>
      <c r="F350" s="111">
        <v>2011</v>
      </c>
      <c r="G350" s="13" t="s">
        <v>1845</v>
      </c>
      <c r="H350" s="14" t="s">
        <v>274</v>
      </c>
      <c r="I350" s="14" t="s">
        <v>1846</v>
      </c>
      <c r="J350" s="12" t="s">
        <v>972</v>
      </c>
      <c r="K350" s="15" t="s">
        <v>1847</v>
      </c>
      <c r="O350" s="11" t="s">
        <v>1848</v>
      </c>
    </row>
    <row r="351" spans="1:15" hidden="1" x14ac:dyDescent="0.25">
      <c r="A351" s="11" t="s">
        <v>21</v>
      </c>
      <c r="B351" s="11" t="s">
        <v>863</v>
      </c>
      <c r="C351" s="12" t="s">
        <v>633</v>
      </c>
      <c r="D351" s="12" t="s">
        <v>1849</v>
      </c>
      <c r="E351" s="13">
        <v>1</v>
      </c>
      <c r="F351" s="111">
        <v>2011</v>
      </c>
      <c r="G351" s="13" t="s">
        <v>1850</v>
      </c>
      <c r="H351" s="14" t="s">
        <v>274</v>
      </c>
      <c r="I351" s="14" t="s">
        <v>1851</v>
      </c>
      <c r="J351" s="12" t="s">
        <v>661</v>
      </c>
      <c r="K351" s="15" t="s">
        <v>1852</v>
      </c>
      <c r="O351" s="11" t="s">
        <v>1853</v>
      </c>
    </row>
    <row r="352" spans="1:15" hidden="1" x14ac:dyDescent="0.25">
      <c r="A352" s="11" t="s">
        <v>21</v>
      </c>
      <c r="B352" s="11" t="s">
        <v>863</v>
      </c>
      <c r="C352" s="12" t="s">
        <v>633</v>
      </c>
      <c r="D352" s="12" t="s">
        <v>1854</v>
      </c>
      <c r="E352" s="13">
        <v>1</v>
      </c>
      <c r="F352" s="111">
        <v>2011</v>
      </c>
      <c r="G352" s="13" t="s">
        <v>1855</v>
      </c>
      <c r="H352" s="14" t="s">
        <v>274</v>
      </c>
      <c r="I352" s="14" t="s">
        <v>1856</v>
      </c>
      <c r="J352" s="12" t="s">
        <v>661</v>
      </c>
      <c r="K352" s="15" t="s">
        <v>1857</v>
      </c>
      <c r="O352" s="11" t="s">
        <v>1858</v>
      </c>
    </row>
    <row r="353" spans="1:15" hidden="1" x14ac:dyDescent="0.25">
      <c r="A353" s="11" t="s">
        <v>21</v>
      </c>
      <c r="B353" s="11" t="s">
        <v>863</v>
      </c>
      <c r="C353" s="12" t="s">
        <v>633</v>
      </c>
      <c r="D353" s="12" t="s">
        <v>1859</v>
      </c>
      <c r="E353" s="13">
        <v>1</v>
      </c>
      <c r="F353" s="111">
        <v>2011</v>
      </c>
      <c r="G353" s="13" t="s">
        <v>1860</v>
      </c>
      <c r="H353" s="14" t="s">
        <v>274</v>
      </c>
      <c r="I353" s="14" t="s">
        <v>1861</v>
      </c>
      <c r="J353" s="12" t="s">
        <v>972</v>
      </c>
      <c r="K353" s="15" t="s">
        <v>1862</v>
      </c>
      <c r="O353" s="11" t="s">
        <v>1863</v>
      </c>
    </row>
    <row r="354" spans="1:15" hidden="1" x14ac:dyDescent="0.25">
      <c r="A354" s="11" t="s">
        <v>21</v>
      </c>
      <c r="B354" s="11" t="s">
        <v>863</v>
      </c>
      <c r="C354" s="12" t="s">
        <v>633</v>
      </c>
      <c r="D354" s="12" t="s">
        <v>1866</v>
      </c>
      <c r="E354" s="13">
        <v>1</v>
      </c>
      <c r="F354" s="111">
        <v>2011</v>
      </c>
      <c r="G354" s="13" t="s">
        <v>1867</v>
      </c>
      <c r="H354" s="14" t="s">
        <v>274</v>
      </c>
      <c r="I354" s="14" t="s">
        <v>1868</v>
      </c>
      <c r="J354" s="12" t="s">
        <v>972</v>
      </c>
      <c r="K354" s="15" t="s">
        <v>1869</v>
      </c>
      <c r="O354" s="11" t="s">
        <v>1870</v>
      </c>
    </row>
    <row r="355" spans="1:15" hidden="1" x14ac:dyDescent="0.25">
      <c r="A355" s="11" t="s">
        <v>21</v>
      </c>
      <c r="B355" s="11" t="s">
        <v>863</v>
      </c>
      <c r="C355" s="12" t="s">
        <v>633</v>
      </c>
      <c r="D355" s="12" t="s">
        <v>2238</v>
      </c>
      <c r="E355" s="13">
        <v>1</v>
      </c>
      <c r="F355" s="111">
        <v>2012</v>
      </c>
      <c r="G355" s="13" t="s">
        <v>2239</v>
      </c>
      <c r="H355" s="14" t="s">
        <v>274</v>
      </c>
      <c r="I355" s="14" t="s">
        <v>2240</v>
      </c>
      <c r="J355" s="12" t="s">
        <v>661</v>
      </c>
      <c r="K355" s="15" t="s">
        <v>2241</v>
      </c>
      <c r="O355" s="11" t="s">
        <v>2242</v>
      </c>
    </row>
    <row r="356" spans="1:15" hidden="1" x14ac:dyDescent="0.25">
      <c r="A356" s="11" t="s">
        <v>21</v>
      </c>
      <c r="B356" s="11" t="s">
        <v>863</v>
      </c>
      <c r="C356" s="12" t="s">
        <v>633</v>
      </c>
      <c r="D356" s="12" t="s">
        <v>2243</v>
      </c>
      <c r="E356" s="13">
        <v>1</v>
      </c>
      <c r="F356" s="111">
        <v>2012</v>
      </c>
      <c r="G356" s="13" t="s">
        <v>2244</v>
      </c>
      <c r="H356" s="14" t="s">
        <v>274</v>
      </c>
      <c r="I356" s="14" t="s">
        <v>2245</v>
      </c>
      <c r="J356" s="12" t="s">
        <v>661</v>
      </c>
      <c r="K356" s="15" t="s">
        <v>2246</v>
      </c>
      <c r="O356" s="11" t="s">
        <v>2247</v>
      </c>
    </row>
    <row r="357" spans="1:15" hidden="1" x14ac:dyDescent="0.25">
      <c r="A357" s="11" t="s">
        <v>21</v>
      </c>
      <c r="B357" s="11" t="s">
        <v>863</v>
      </c>
      <c r="C357" s="12" t="s">
        <v>633</v>
      </c>
      <c r="D357" s="12" t="s">
        <v>2248</v>
      </c>
      <c r="E357" s="13">
        <v>1</v>
      </c>
      <c r="F357" s="111">
        <v>2012</v>
      </c>
      <c r="G357" s="13" t="s">
        <v>2249</v>
      </c>
      <c r="H357" s="14" t="s">
        <v>274</v>
      </c>
      <c r="I357" s="14" t="s">
        <v>2250</v>
      </c>
      <c r="J357" s="12" t="s">
        <v>661</v>
      </c>
      <c r="K357" s="15" t="s">
        <v>2251</v>
      </c>
      <c r="O357" s="11" t="s">
        <v>2252</v>
      </c>
    </row>
    <row r="358" spans="1:15" hidden="1" x14ac:dyDescent="0.25">
      <c r="A358" s="11" t="s">
        <v>21</v>
      </c>
      <c r="B358" s="11" t="s">
        <v>863</v>
      </c>
      <c r="C358" s="12" t="s">
        <v>633</v>
      </c>
      <c r="D358" s="12" t="s">
        <v>2248</v>
      </c>
      <c r="E358" s="13">
        <v>2</v>
      </c>
      <c r="F358" s="111">
        <v>2012</v>
      </c>
      <c r="G358" s="13" t="s">
        <v>2253</v>
      </c>
      <c r="H358" s="14" t="s">
        <v>274</v>
      </c>
      <c r="I358" s="14" t="s">
        <v>2254</v>
      </c>
      <c r="J358" s="12" t="s">
        <v>661</v>
      </c>
      <c r="K358" s="15" t="s">
        <v>2255</v>
      </c>
      <c r="O358" s="11" t="s">
        <v>2252</v>
      </c>
    </row>
    <row r="359" spans="1:15" hidden="1" x14ac:dyDescent="0.25">
      <c r="A359" s="11" t="s">
        <v>23</v>
      </c>
      <c r="B359" s="11" t="s">
        <v>863</v>
      </c>
      <c r="C359" s="12" t="s">
        <v>633</v>
      </c>
      <c r="D359" s="12" t="s">
        <v>1128</v>
      </c>
      <c r="E359" s="13">
        <v>1</v>
      </c>
      <c r="F359" s="111">
        <v>2013</v>
      </c>
      <c r="G359" s="13" t="s">
        <v>1129</v>
      </c>
      <c r="H359" s="14" t="s">
        <v>274</v>
      </c>
      <c r="I359" s="14" t="s">
        <v>1130</v>
      </c>
      <c r="J359" s="12" t="s">
        <v>972</v>
      </c>
      <c r="K359" s="15" t="s">
        <v>1131</v>
      </c>
      <c r="O359" s="11" t="s">
        <v>1132</v>
      </c>
    </row>
    <row r="360" spans="1:15" hidden="1" x14ac:dyDescent="0.25">
      <c r="A360" s="11" t="s">
        <v>23</v>
      </c>
      <c r="B360" s="11" t="s">
        <v>863</v>
      </c>
      <c r="C360" s="12" t="s">
        <v>633</v>
      </c>
      <c r="D360" s="12" t="s">
        <v>1133</v>
      </c>
      <c r="E360" s="13">
        <v>1</v>
      </c>
      <c r="F360" s="111">
        <v>2013</v>
      </c>
      <c r="G360" s="13" t="s">
        <v>1134</v>
      </c>
      <c r="H360" s="14" t="s">
        <v>274</v>
      </c>
      <c r="I360" s="14" t="s">
        <v>1135</v>
      </c>
      <c r="J360" s="12" t="s">
        <v>661</v>
      </c>
      <c r="K360" s="15" t="s">
        <v>1136</v>
      </c>
      <c r="O360" s="11" t="s">
        <v>1137</v>
      </c>
    </row>
    <row r="361" spans="1:15" hidden="1" x14ac:dyDescent="0.25">
      <c r="A361" s="11" t="s">
        <v>21</v>
      </c>
      <c r="B361" s="11" t="s">
        <v>863</v>
      </c>
      <c r="C361" s="12" t="s">
        <v>633</v>
      </c>
      <c r="D361" s="12" t="s">
        <v>1149</v>
      </c>
      <c r="E361" s="13">
        <v>1</v>
      </c>
      <c r="F361" s="111">
        <v>2013</v>
      </c>
      <c r="G361" s="13" t="s">
        <v>1150</v>
      </c>
      <c r="H361" s="14" t="s">
        <v>274</v>
      </c>
      <c r="I361" s="14" t="s">
        <v>1151</v>
      </c>
      <c r="J361" s="12" t="s">
        <v>972</v>
      </c>
      <c r="K361" s="15" t="s">
        <v>1152</v>
      </c>
      <c r="O361" s="11" t="s">
        <v>1153</v>
      </c>
    </row>
    <row r="362" spans="1:15" hidden="1" x14ac:dyDescent="0.25">
      <c r="A362" s="11" t="s">
        <v>21</v>
      </c>
      <c r="B362" s="11" t="s">
        <v>863</v>
      </c>
      <c r="C362" s="12" t="s">
        <v>633</v>
      </c>
      <c r="D362" s="12" t="s">
        <v>1154</v>
      </c>
      <c r="E362" s="13">
        <v>1</v>
      </c>
      <c r="F362" s="111">
        <v>2013</v>
      </c>
      <c r="G362" s="13" t="s">
        <v>1155</v>
      </c>
      <c r="H362" s="14" t="s">
        <v>274</v>
      </c>
      <c r="I362" s="14" t="s">
        <v>1156</v>
      </c>
      <c r="J362" s="12" t="s">
        <v>972</v>
      </c>
      <c r="K362" s="15" t="s">
        <v>1157</v>
      </c>
      <c r="O362" s="11" t="s">
        <v>1158</v>
      </c>
    </row>
    <row r="363" spans="1:15" hidden="1" x14ac:dyDescent="0.25">
      <c r="A363" s="11" t="s">
        <v>21</v>
      </c>
      <c r="B363" s="11" t="s">
        <v>863</v>
      </c>
      <c r="C363" s="12" t="s">
        <v>633</v>
      </c>
      <c r="D363" s="12" t="s">
        <v>1159</v>
      </c>
      <c r="E363" s="13">
        <v>1</v>
      </c>
      <c r="F363" s="111">
        <v>2013</v>
      </c>
      <c r="G363" s="13" t="s">
        <v>1160</v>
      </c>
      <c r="H363" s="14" t="s">
        <v>274</v>
      </c>
      <c r="I363" s="14" t="s">
        <v>1161</v>
      </c>
      <c r="J363" s="12" t="s">
        <v>972</v>
      </c>
      <c r="K363" s="15" t="s">
        <v>1162</v>
      </c>
      <c r="O363" s="11" t="s">
        <v>1163</v>
      </c>
    </row>
    <row r="364" spans="1:15" hidden="1" x14ac:dyDescent="0.25">
      <c r="A364" s="11" t="s">
        <v>21</v>
      </c>
      <c r="B364" s="11" t="s">
        <v>863</v>
      </c>
      <c r="C364" s="12" t="s">
        <v>633</v>
      </c>
      <c r="D364" s="12" t="s">
        <v>1172</v>
      </c>
      <c r="E364" s="13">
        <v>1</v>
      </c>
      <c r="F364" s="111">
        <v>2013</v>
      </c>
      <c r="G364" s="13" t="s">
        <v>1173</v>
      </c>
      <c r="H364" s="14" t="s">
        <v>274</v>
      </c>
      <c r="I364" s="14" t="s">
        <v>1174</v>
      </c>
      <c r="J364" s="12" t="s">
        <v>661</v>
      </c>
      <c r="K364" s="15" t="s">
        <v>1175</v>
      </c>
      <c r="O364" s="11" t="s">
        <v>1176</v>
      </c>
    </row>
    <row r="365" spans="1:15" hidden="1" x14ac:dyDescent="0.25">
      <c r="A365" s="11" t="s">
        <v>21</v>
      </c>
      <c r="B365" s="11" t="s">
        <v>863</v>
      </c>
      <c r="C365" s="12" t="s">
        <v>633</v>
      </c>
      <c r="D365" s="12" t="s">
        <v>1177</v>
      </c>
      <c r="E365" s="13">
        <v>1</v>
      </c>
      <c r="F365" s="111">
        <v>2013</v>
      </c>
      <c r="G365" s="13" t="s">
        <v>1178</v>
      </c>
      <c r="H365" s="14" t="s">
        <v>274</v>
      </c>
      <c r="I365" s="14" t="s">
        <v>1179</v>
      </c>
      <c r="J365" s="12" t="s">
        <v>972</v>
      </c>
      <c r="K365" s="15" t="s">
        <v>1180</v>
      </c>
      <c r="O365" s="11" t="s">
        <v>1181</v>
      </c>
    </row>
    <row r="366" spans="1:15" hidden="1" x14ac:dyDescent="0.25">
      <c r="A366" s="11" t="s">
        <v>21</v>
      </c>
      <c r="B366" s="11" t="s">
        <v>863</v>
      </c>
      <c r="C366" s="12" t="s">
        <v>633</v>
      </c>
      <c r="D366" s="12" t="s">
        <v>1182</v>
      </c>
      <c r="E366" s="13">
        <v>1</v>
      </c>
      <c r="F366" s="111">
        <v>2013</v>
      </c>
      <c r="G366" s="13" t="s">
        <v>1183</v>
      </c>
      <c r="H366" s="14" t="s">
        <v>274</v>
      </c>
      <c r="I366" s="14" t="s">
        <v>1184</v>
      </c>
      <c r="J366" s="12" t="s">
        <v>972</v>
      </c>
      <c r="K366" s="15" t="s">
        <v>1185</v>
      </c>
      <c r="O366" s="11" t="s">
        <v>1186</v>
      </c>
    </row>
    <row r="367" spans="1:15" hidden="1" x14ac:dyDescent="0.25">
      <c r="A367" s="11" t="s">
        <v>21</v>
      </c>
      <c r="B367" s="11" t="s">
        <v>863</v>
      </c>
      <c r="C367" s="12" t="s">
        <v>633</v>
      </c>
      <c r="D367" s="12" t="s">
        <v>1164</v>
      </c>
      <c r="E367" s="13">
        <v>1</v>
      </c>
      <c r="F367" s="111">
        <v>2013</v>
      </c>
      <c r="G367" s="13" t="s">
        <v>1187</v>
      </c>
      <c r="H367" s="14" t="s">
        <v>274</v>
      </c>
      <c r="I367" s="14" t="s">
        <v>1188</v>
      </c>
      <c r="J367" s="12" t="s">
        <v>661</v>
      </c>
      <c r="K367" s="15" t="s">
        <v>1189</v>
      </c>
      <c r="O367" s="11" t="s">
        <v>1168</v>
      </c>
    </row>
    <row r="368" spans="1:15" hidden="1" x14ac:dyDescent="0.25">
      <c r="A368" s="11" t="s">
        <v>21</v>
      </c>
      <c r="B368" s="11" t="s">
        <v>863</v>
      </c>
      <c r="C368" s="12" t="s">
        <v>633</v>
      </c>
      <c r="D368" s="12" t="s">
        <v>1190</v>
      </c>
      <c r="E368" s="13">
        <v>1</v>
      </c>
      <c r="F368" s="111">
        <v>2013</v>
      </c>
      <c r="G368" s="13" t="s">
        <v>1191</v>
      </c>
      <c r="H368" s="14" t="s">
        <v>274</v>
      </c>
      <c r="I368" s="14" t="s">
        <v>1192</v>
      </c>
      <c r="J368" s="12" t="s">
        <v>972</v>
      </c>
      <c r="K368" s="15" t="s">
        <v>1193</v>
      </c>
      <c r="O368" s="11" t="s">
        <v>1194</v>
      </c>
    </row>
    <row r="369" spans="1:15" hidden="1" x14ac:dyDescent="0.25">
      <c r="A369" s="11" t="s">
        <v>21</v>
      </c>
      <c r="B369" s="11" t="s">
        <v>863</v>
      </c>
      <c r="C369" s="12" t="s">
        <v>633</v>
      </c>
      <c r="D369" s="12" t="s">
        <v>1200</v>
      </c>
      <c r="E369" s="13">
        <v>1</v>
      </c>
      <c r="F369" s="111">
        <v>2013</v>
      </c>
      <c r="G369" s="13" t="s">
        <v>1201</v>
      </c>
      <c r="H369" s="14" t="s">
        <v>274</v>
      </c>
      <c r="I369" s="14" t="s">
        <v>1202</v>
      </c>
      <c r="J369" s="12" t="s">
        <v>661</v>
      </c>
      <c r="K369" s="15" t="s">
        <v>1203</v>
      </c>
      <c r="O369" s="11" t="s">
        <v>1204</v>
      </c>
    </row>
    <row r="370" spans="1:15" hidden="1" x14ac:dyDescent="0.25">
      <c r="A370" s="11" t="s">
        <v>21</v>
      </c>
      <c r="B370" s="11" t="s">
        <v>863</v>
      </c>
      <c r="C370" s="12" t="s">
        <v>633</v>
      </c>
      <c r="D370" s="12" t="s">
        <v>870</v>
      </c>
      <c r="E370" s="13">
        <v>1</v>
      </c>
      <c r="F370" s="111">
        <v>2013</v>
      </c>
      <c r="G370" s="13" t="s">
        <v>1208</v>
      </c>
      <c r="H370" s="14" t="s">
        <v>274</v>
      </c>
      <c r="I370" s="14" t="s">
        <v>1209</v>
      </c>
      <c r="J370" s="12" t="s">
        <v>972</v>
      </c>
      <c r="K370" s="15" t="s">
        <v>1210</v>
      </c>
      <c r="O370" s="11" t="s">
        <v>1211</v>
      </c>
    </row>
    <row r="371" spans="1:15" hidden="1" x14ac:dyDescent="0.25">
      <c r="A371" s="11" t="s">
        <v>21</v>
      </c>
      <c r="B371" s="11" t="s">
        <v>863</v>
      </c>
      <c r="C371" s="12" t="s">
        <v>633</v>
      </c>
      <c r="D371" s="12" t="s">
        <v>1212</v>
      </c>
      <c r="E371" s="13">
        <v>1</v>
      </c>
      <c r="F371" s="111">
        <v>2013</v>
      </c>
      <c r="G371" s="13" t="s">
        <v>1213</v>
      </c>
      <c r="H371" s="14" t="s">
        <v>274</v>
      </c>
      <c r="I371" s="14" t="s">
        <v>1214</v>
      </c>
      <c r="J371" s="12" t="s">
        <v>972</v>
      </c>
      <c r="K371" s="15" t="s">
        <v>1215</v>
      </c>
      <c r="O371" s="11" t="s">
        <v>1216</v>
      </c>
    </row>
    <row r="372" spans="1:15" hidden="1" x14ac:dyDescent="0.25">
      <c r="A372" s="11" t="s">
        <v>21</v>
      </c>
      <c r="B372" s="11" t="s">
        <v>863</v>
      </c>
      <c r="C372" s="12" t="s">
        <v>633</v>
      </c>
      <c r="D372" s="12" t="s">
        <v>1217</v>
      </c>
      <c r="E372" s="13">
        <v>1</v>
      </c>
      <c r="F372" s="111">
        <v>2013</v>
      </c>
      <c r="G372" s="13" t="s">
        <v>1218</v>
      </c>
      <c r="H372" s="14" t="s">
        <v>274</v>
      </c>
      <c r="I372" s="14" t="s">
        <v>1219</v>
      </c>
      <c r="J372" s="12" t="s">
        <v>972</v>
      </c>
      <c r="K372" s="15" t="s">
        <v>1220</v>
      </c>
      <c r="O372" s="11" t="s">
        <v>1221</v>
      </c>
    </row>
    <row r="373" spans="1:15" hidden="1" x14ac:dyDescent="0.25">
      <c r="A373" s="11" t="s">
        <v>21</v>
      </c>
      <c r="B373" s="11" t="s">
        <v>863</v>
      </c>
      <c r="C373" s="12" t="s">
        <v>633</v>
      </c>
      <c r="D373" s="12" t="s">
        <v>1240</v>
      </c>
      <c r="E373" s="13">
        <v>1</v>
      </c>
      <c r="F373" s="111">
        <v>2013</v>
      </c>
      <c r="G373" s="13" t="s">
        <v>1241</v>
      </c>
      <c r="H373" s="14" t="s">
        <v>274</v>
      </c>
      <c r="I373" s="14" t="s">
        <v>1242</v>
      </c>
      <c r="J373" s="12" t="s">
        <v>972</v>
      </c>
      <c r="K373" s="15" t="s">
        <v>1243</v>
      </c>
      <c r="O373" s="11" t="s">
        <v>1244</v>
      </c>
    </row>
    <row r="374" spans="1:15" hidden="1" x14ac:dyDescent="0.25">
      <c r="A374" s="11" t="s">
        <v>21</v>
      </c>
      <c r="B374" s="11" t="s">
        <v>863</v>
      </c>
      <c r="C374" s="12" t="s">
        <v>633</v>
      </c>
      <c r="D374" s="12" t="s">
        <v>1245</v>
      </c>
      <c r="E374" s="13">
        <v>1</v>
      </c>
      <c r="F374" s="111">
        <v>2013</v>
      </c>
      <c r="G374" s="13" t="s">
        <v>1246</v>
      </c>
      <c r="H374" s="14" t="s">
        <v>274</v>
      </c>
      <c r="I374" s="14" t="s">
        <v>1247</v>
      </c>
      <c r="J374" s="12" t="s">
        <v>972</v>
      </c>
      <c r="K374" s="15" t="s">
        <v>1248</v>
      </c>
      <c r="O374" s="11" t="s">
        <v>1249</v>
      </c>
    </row>
    <row r="375" spans="1:15" hidden="1" x14ac:dyDescent="0.25">
      <c r="A375" s="11" t="s">
        <v>21</v>
      </c>
      <c r="B375" s="11" t="s">
        <v>863</v>
      </c>
      <c r="C375" s="12" t="s">
        <v>633</v>
      </c>
      <c r="D375" s="12" t="s">
        <v>1250</v>
      </c>
      <c r="E375" s="13">
        <v>1</v>
      </c>
      <c r="F375" s="111">
        <v>2013</v>
      </c>
      <c r="G375" s="13" t="s">
        <v>1251</v>
      </c>
      <c r="H375" s="14" t="s">
        <v>274</v>
      </c>
      <c r="I375" s="14" t="s">
        <v>1252</v>
      </c>
      <c r="J375" s="12" t="s">
        <v>972</v>
      </c>
      <c r="K375" s="15" t="s">
        <v>1253</v>
      </c>
      <c r="O375" s="11" t="s">
        <v>1254</v>
      </c>
    </row>
    <row r="376" spans="1:15" hidden="1" x14ac:dyDescent="0.25">
      <c r="A376" s="11" t="s">
        <v>21</v>
      </c>
      <c r="B376" s="11" t="s">
        <v>863</v>
      </c>
      <c r="C376" s="12" t="s">
        <v>633</v>
      </c>
      <c r="D376" s="12" t="s">
        <v>1265</v>
      </c>
      <c r="E376" s="13">
        <v>1</v>
      </c>
      <c r="F376" s="111">
        <v>2013</v>
      </c>
      <c r="G376" s="13" t="s">
        <v>1266</v>
      </c>
      <c r="H376" s="14" t="s">
        <v>274</v>
      </c>
      <c r="I376" s="14" t="s">
        <v>1267</v>
      </c>
      <c r="J376" s="12" t="s">
        <v>972</v>
      </c>
      <c r="K376" s="15" t="s">
        <v>1268</v>
      </c>
      <c r="O376" s="11" t="s">
        <v>1269</v>
      </c>
    </row>
    <row r="377" spans="1:15" hidden="1" x14ac:dyDescent="0.25">
      <c r="A377" s="11" t="s">
        <v>21</v>
      </c>
      <c r="B377" s="11" t="s">
        <v>863</v>
      </c>
      <c r="C377" s="12" t="s">
        <v>633</v>
      </c>
      <c r="D377" s="12" t="s">
        <v>1270</v>
      </c>
      <c r="E377" s="13">
        <v>1</v>
      </c>
      <c r="F377" s="111">
        <v>2013</v>
      </c>
      <c r="G377" s="13" t="s">
        <v>1271</v>
      </c>
      <c r="H377" s="14" t="s">
        <v>274</v>
      </c>
      <c r="I377" s="14" t="s">
        <v>1272</v>
      </c>
      <c r="J377" s="12" t="s">
        <v>972</v>
      </c>
      <c r="K377" s="15" t="s">
        <v>1273</v>
      </c>
      <c r="O377" s="11" t="s">
        <v>1274</v>
      </c>
    </row>
    <row r="378" spans="1:15" hidden="1" x14ac:dyDescent="0.25">
      <c r="A378" s="11" t="s">
        <v>21</v>
      </c>
      <c r="B378" s="11" t="s">
        <v>863</v>
      </c>
      <c r="C378" s="12" t="s">
        <v>633</v>
      </c>
      <c r="D378" s="12" t="s">
        <v>1275</v>
      </c>
      <c r="E378" s="13">
        <v>1</v>
      </c>
      <c r="F378" s="111">
        <v>2013</v>
      </c>
      <c r="G378" s="13" t="s">
        <v>1276</v>
      </c>
      <c r="H378" s="14" t="s">
        <v>274</v>
      </c>
      <c r="I378" s="14" t="s">
        <v>1277</v>
      </c>
      <c r="J378" s="12" t="s">
        <v>972</v>
      </c>
      <c r="K378" s="15" t="s">
        <v>1278</v>
      </c>
      <c r="O378" s="11" t="s">
        <v>1279</v>
      </c>
    </row>
    <row r="379" spans="1:15" hidden="1" x14ac:dyDescent="0.25">
      <c r="A379" s="11" t="s">
        <v>21</v>
      </c>
      <c r="B379" s="11" t="s">
        <v>863</v>
      </c>
      <c r="C379" s="12" t="s">
        <v>633</v>
      </c>
      <c r="D379" s="12" t="s">
        <v>2076</v>
      </c>
      <c r="E379" s="13">
        <v>1</v>
      </c>
      <c r="F379" s="111">
        <v>2013</v>
      </c>
      <c r="G379" s="13" t="s">
        <v>2077</v>
      </c>
      <c r="H379" s="14" t="s">
        <v>274</v>
      </c>
      <c r="I379" s="14" t="s">
        <v>2078</v>
      </c>
      <c r="J379" s="12" t="s">
        <v>972</v>
      </c>
      <c r="K379" s="15" t="s">
        <v>2079</v>
      </c>
      <c r="O379" s="11" t="s">
        <v>2080</v>
      </c>
    </row>
    <row r="380" spans="1:15" hidden="1" x14ac:dyDescent="0.25">
      <c r="A380" s="11" t="s">
        <v>21</v>
      </c>
      <c r="B380" s="11" t="s">
        <v>863</v>
      </c>
      <c r="C380" s="12" t="s">
        <v>633</v>
      </c>
      <c r="D380" s="12" t="s">
        <v>2085</v>
      </c>
      <c r="E380" s="13">
        <v>1</v>
      </c>
      <c r="F380" s="111">
        <v>2013</v>
      </c>
      <c r="G380" s="13" t="s">
        <v>2086</v>
      </c>
      <c r="H380" s="14" t="s">
        <v>274</v>
      </c>
      <c r="I380" s="14" t="s">
        <v>2087</v>
      </c>
      <c r="J380" s="12" t="s">
        <v>972</v>
      </c>
      <c r="K380" s="15" t="s">
        <v>2088</v>
      </c>
      <c r="O380" s="11" t="s">
        <v>2089</v>
      </c>
    </row>
    <row r="381" spans="1:15" hidden="1" x14ac:dyDescent="0.25">
      <c r="A381" s="11" t="s">
        <v>21</v>
      </c>
      <c r="B381" s="11" t="s">
        <v>863</v>
      </c>
      <c r="C381" s="12" t="s">
        <v>633</v>
      </c>
      <c r="D381" s="12" t="s">
        <v>2090</v>
      </c>
      <c r="E381" s="13">
        <v>1</v>
      </c>
      <c r="F381" s="111">
        <v>2013</v>
      </c>
      <c r="G381" s="13" t="s">
        <v>2091</v>
      </c>
      <c r="H381" s="14" t="s">
        <v>274</v>
      </c>
      <c r="I381" s="14" t="s">
        <v>2092</v>
      </c>
      <c r="J381" s="12" t="s">
        <v>972</v>
      </c>
      <c r="K381" s="15" t="s">
        <v>2093</v>
      </c>
      <c r="O381" s="11" t="s">
        <v>2094</v>
      </c>
    </row>
    <row r="382" spans="1:15" hidden="1" x14ac:dyDescent="0.25">
      <c r="A382" s="11" t="s">
        <v>21</v>
      </c>
      <c r="B382" s="11" t="s">
        <v>863</v>
      </c>
      <c r="C382" s="12" t="s">
        <v>633</v>
      </c>
      <c r="D382" s="12" t="s">
        <v>1164</v>
      </c>
      <c r="E382" s="13">
        <v>2</v>
      </c>
      <c r="F382" s="111">
        <v>2013</v>
      </c>
      <c r="G382" s="13" t="s">
        <v>1165</v>
      </c>
      <c r="H382" s="14" t="s">
        <v>274</v>
      </c>
      <c r="I382" s="14" t="s">
        <v>1166</v>
      </c>
      <c r="J382" s="12" t="s">
        <v>661</v>
      </c>
      <c r="K382" s="15" t="s">
        <v>1167</v>
      </c>
      <c r="O382" s="11" t="s">
        <v>1168</v>
      </c>
    </row>
    <row r="383" spans="1:15" hidden="1" x14ac:dyDescent="0.25">
      <c r="A383" s="11" t="s">
        <v>21</v>
      </c>
      <c r="B383" s="11" t="s">
        <v>863</v>
      </c>
      <c r="C383" s="12" t="s">
        <v>633</v>
      </c>
      <c r="D383" s="12" t="s">
        <v>1200</v>
      </c>
      <c r="E383" s="13">
        <v>2</v>
      </c>
      <c r="F383" s="111">
        <v>2013</v>
      </c>
      <c r="G383" s="13" t="s">
        <v>1205</v>
      </c>
      <c r="H383" s="14" t="s">
        <v>274</v>
      </c>
      <c r="I383" s="14" t="s">
        <v>1206</v>
      </c>
      <c r="J383" s="12" t="s">
        <v>661</v>
      </c>
      <c r="K383" s="15" t="s">
        <v>1207</v>
      </c>
      <c r="O383" s="11" t="s">
        <v>1204</v>
      </c>
    </row>
    <row r="384" spans="1:15" hidden="1" x14ac:dyDescent="0.25">
      <c r="A384" s="11" t="s">
        <v>21</v>
      </c>
      <c r="B384" s="11" t="s">
        <v>863</v>
      </c>
      <c r="C384" s="12" t="s">
        <v>633</v>
      </c>
      <c r="D384" s="12" t="s">
        <v>1164</v>
      </c>
      <c r="E384" s="13">
        <v>3</v>
      </c>
      <c r="F384" s="111">
        <v>2013</v>
      </c>
      <c r="G384" s="13" t="s">
        <v>1169</v>
      </c>
      <c r="H384" s="14" t="s">
        <v>274</v>
      </c>
      <c r="I384" s="14" t="s">
        <v>1170</v>
      </c>
      <c r="J384" s="12" t="s">
        <v>661</v>
      </c>
      <c r="K384" s="15" t="s">
        <v>1171</v>
      </c>
      <c r="O384" s="11" t="s">
        <v>1168</v>
      </c>
    </row>
    <row r="385" spans="1:15" hidden="1" x14ac:dyDescent="0.25">
      <c r="A385" s="11" t="s">
        <v>21</v>
      </c>
      <c r="B385" s="11" t="s">
        <v>729</v>
      </c>
      <c r="C385" s="12" t="s">
        <v>42</v>
      </c>
      <c r="D385" s="12" t="s">
        <v>744</v>
      </c>
      <c r="E385" s="13">
        <v>1</v>
      </c>
      <c r="F385" s="111">
        <v>2022</v>
      </c>
      <c r="G385" s="13" t="s">
        <v>745</v>
      </c>
      <c r="H385" s="14" t="s">
        <v>554</v>
      </c>
      <c r="I385" s="14" t="s">
        <v>746</v>
      </c>
      <c r="J385" s="12" t="s">
        <v>555</v>
      </c>
      <c r="K385" s="15" t="s">
        <v>747</v>
      </c>
      <c r="O385" s="11" t="s">
        <v>748</v>
      </c>
    </row>
    <row r="386" spans="1:15" hidden="1" x14ac:dyDescent="0.25">
      <c r="A386" s="11" t="s">
        <v>21</v>
      </c>
      <c r="B386" s="11" t="s">
        <v>729</v>
      </c>
      <c r="C386" s="12" t="s">
        <v>42</v>
      </c>
      <c r="D386" s="12" t="s">
        <v>749</v>
      </c>
      <c r="E386" s="13">
        <v>1</v>
      </c>
      <c r="F386" s="111">
        <v>2022</v>
      </c>
      <c r="G386" s="13" t="s">
        <v>750</v>
      </c>
      <c r="H386" s="14" t="s">
        <v>554</v>
      </c>
      <c r="I386" s="14" t="s">
        <v>751</v>
      </c>
      <c r="J386" s="12" t="s">
        <v>555</v>
      </c>
      <c r="K386" s="15" t="s">
        <v>752</v>
      </c>
      <c r="O386" s="11" t="s">
        <v>753</v>
      </c>
    </row>
    <row r="387" spans="1:15" hidden="1" x14ac:dyDescent="0.25">
      <c r="A387" s="11" t="s">
        <v>21</v>
      </c>
      <c r="B387" s="11" t="s">
        <v>729</v>
      </c>
      <c r="C387" s="12" t="s">
        <v>42</v>
      </c>
      <c r="D387" s="12" t="s">
        <v>754</v>
      </c>
      <c r="E387" s="13">
        <v>1</v>
      </c>
      <c r="F387" s="111">
        <v>2022</v>
      </c>
      <c r="G387" s="13" t="s">
        <v>755</v>
      </c>
      <c r="H387" s="14" t="s">
        <v>554</v>
      </c>
      <c r="I387" s="14" t="s">
        <v>756</v>
      </c>
      <c r="J387" s="12" t="s">
        <v>555</v>
      </c>
      <c r="K387" s="15" t="s">
        <v>757</v>
      </c>
      <c r="O387" s="11" t="s">
        <v>758</v>
      </c>
    </row>
    <row r="388" spans="1:15" hidden="1" x14ac:dyDescent="0.25">
      <c r="A388" s="11" t="s">
        <v>21</v>
      </c>
      <c r="B388" s="11" t="s">
        <v>729</v>
      </c>
      <c r="C388" s="12" t="s">
        <v>42</v>
      </c>
      <c r="D388" s="12" t="s">
        <v>759</v>
      </c>
      <c r="E388" s="13">
        <v>1</v>
      </c>
      <c r="F388" s="111">
        <v>2022</v>
      </c>
      <c r="G388" s="13" t="s">
        <v>764</v>
      </c>
      <c r="H388" s="14" t="s">
        <v>554</v>
      </c>
      <c r="I388" s="14" t="s">
        <v>765</v>
      </c>
      <c r="J388" s="12" t="s">
        <v>555</v>
      </c>
      <c r="K388" s="15" t="s">
        <v>766</v>
      </c>
      <c r="O388" s="11" t="s">
        <v>763</v>
      </c>
    </row>
    <row r="389" spans="1:15" hidden="1" x14ac:dyDescent="0.25">
      <c r="A389" s="11" t="s">
        <v>21</v>
      </c>
      <c r="B389" s="11" t="s">
        <v>729</v>
      </c>
      <c r="C389" s="12" t="s">
        <v>42</v>
      </c>
      <c r="D389" s="12" t="s">
        <v>759</v>
      </c>
      <c r="E389" s="13">
        <v>2</v>
      </c>
      <c r="F389" s="111">
        <v>2022</v>
      </c>
      <c r="G389" s="13" t="s">
        <v>760</v>
      </c>
      <c r="H389" s="14" t="s">
        <v>554</v>
      </c>
      <c r="I389" s="14" t="s">
        <v>761</v>
      </c>
      <c r="J389" s="12" t="s">
        <v>555</v>
      </c>
      <c r="K389" s="15" t="s">
        <v>762</v>
      </c>
      <c r="O389" s="11" t="s">
        <v>763</v>
      </c>
    </row>
    <row r="390" spans="1:15" hidden="1" x14ac:dyDescent="0.25">
      <c r="A390" s="11" t="s">
        <v>21</v>
      </c>
      <c r="B390" s="11" t="s">
        <v>729</v>
      </c>
      <c r="C390" s="12" t="s">
        <v>42</v>
      </c>
      <c r="D390" s="12" t="s">
        <v>791</v>
      </c>
      <c r="E390" s="13">
        <v>1</v>
      </c>
      <c r="F390" s="111">
        <v>2024</v>
      </c>
      <c r="G390" s="13" t="s">
        <v>792</v>
      </c>
      <c r="H390" s="14" t="s">
        <v>554</v>
      </c>
      <c r="I390" s="14" t="s">
        <v>793</v>
      </c>
      <c r="J390" s="12" t="s">
        <v>555</v>
      </c>
      <c r="K390" s="15" t="s">
        <v>794</v>
      </c>
      <c r="O390" s="11" t="s">
        <v>795</v>
      </c>
    </row>
    <row r="391" spans="1:15" hidden="1" x14ac:dyDescent="0.25">
      <c r="A391" s="11" t="s">
        <v>21</v>
      </c>
      <c r="B391" s="11" t="s">
        <v>729</v>
      </c>
      <c r="C391" s="12" t="s">
        <v>42</v>
      </c>
      <c r="D391" s="12" t="s">
        <v>796</v>
      </c>
      <c r="E391" s="13">
        <v>1</v>
      </c>
      <c r="F391" s="111">
        <v>2024</v>
      </c>
      <c r="G391" s="13" t="s">
        <v>797</v>
      </c>
      <c r="H391" s="14" t="s">
        <v>554</v>
      </c>
      <c r="I391" s="14" t="s">
        <v>798</v>
      </c>
      <c r="J391" s="12" t="s">
        <v>555</v>
      </c>
      <c r="K391" s="15" t="s">
        <v>799</v>
      </c>
      <c r="O391" s="11" t="s">
        <v>800</v>
      </c>
    </row>
    <row r="392" spans="1:15" hidden="1" x14ac:dyDescent="0.25">
      <c r="A392" s="11" t="s">
        <v>21</v>
      </c>
      <c r="B392" s="11" t="s">
        <v>729</v>
      </c>
      <c r="C392" s="12" t="s">
        <v>42</v>
      </c>
      <c r="D392" s="12" t="s">
        <v>831</v>
      </c>
      <c r="E392" s="13">
        <v>1</v>
      </c>
      <c r="F392" s="111">
        <v>2024</v>
      </c>
      <c r="G392" s="13" t="s">
        <v>842</v>
      </c>
      <c r="H392" s="14" t="s">
        <v>554</v>
      </c>
      <c r="I392" s="14" t="s">
        <v>843</v>
      </c>
      <c r="J392" s="12" t="s">
        <v>555</v>
      </c>
      <c r="K392" s="15" t="s">
        <v>844</v>
      </c>
      <c r="O392" s="11" t="s">
        <v>835</v>
      </c>
    </row>
    <row r="393" spans="1:15" hidden="1" x14ac:dyDescent="0.25">
      <c r="A393" s="11" t="s">
        <v>21</v>
      </c>
      <c r="B393" s="11" t="s">
        <v>729</v>
      </c>
      <c r="C393" s="12" t="s">
        <v>42</v>
      </c>
      <c r="D393" s="12" t="s">
        <v>831</v>
      </c>
      <c r="E393" s="13">
        <v>2</v>
      </c>
      <c r="F393" s="111">
        <v>2024</v>
      </c>
      <c r="G393" s="13" t="s">
        <v>839</v>
      </c>
      <c r="H393" s="14" t="s">
        <v>554</v>
      </c>
      <c r="I393" s="14" t="s">
        <v>840</v>
      </c>
      <c r="J393" s="12" t="s">
        <v>555</v>
      </c>
      <c r="K393" s="15" t="s">
        <v>841</v>
      </c>
      <c r="O393" s="11" t="s">
        <v>835</v>
      </c>
    </row>
    <row r="394" spans="1:15" hidden="1" x14ac:dyDescent="0.25">
      <c r="A394" s="11" t="s">
        <v>21</v>
      </c>
      <c r="B394" s="11" t="s">
        <v>729</v>
      </c>
      <c r="C394" s="12" t="s">
        <v>42</v>
      </c>
      <c r="D394" s="12" t="s">
        <v>831</v>
      </c>
      <c r="E394" s="13">
        <v>3</v>
      </c>
      <c r="F394" s="111">
        <v>2024</v>
      </c>
      <c r="G394" s="13" t="s">
        <v>836</v>
      </c>
      <c r="H394" s="14" t="s">
        <v>554</v>
      </c>
      <c r="I394" s="14" t="s">
        <v>837</v>
      </c>
      <c r="J394" s="12" t="s">
        <v>555</v>
      </c>
      <c r="K394" s="15" t="s">
        <v>838</v>
      </c>
      <c r="O394" s="11" t="s">
        <v>835</v>
      </c>
    </row>
    <row r="395" spans="1:15" hidden="1" x14ac:dyDescent="0.25">
      <c r="A395" s="11" t="s">
        <v>21</v>
      </c>
      <c r="B395" s="11" t="s">
        <v>729</v>
      </c>
      <c r="C395" s="12" t="s">
        <v>42</v>
      </c>
      <c r="D395" s="12" t="s">
        <v>831</v>
      </c>
      <c r="E395" s="13">
        <v>4</v>
      </c>
      <c r="F395" s="111">
        <v>2024</v>
      </c>
      <c r="G395" s="13" t="s">
        <v>832</v>
      </c>
      <c r="H395" s="14" t="s">
        <v>554</v>
      </c>
      <c r="I395" s="14" t="s">
        <v>833</v>
      </c>
      <c r="J395" s="12" t="s">
        <v>555</v>
      </c>
      <c r="K395" s="15" t="s">
        <v>834</v>
      </c>
      <c r="O395" s="11" t="s">
        <v>835</v>
      </c>
    </row>
    <row r="396" spans="1:15" hidden="1" x14ac:dyDescent="0.25">
      <c r="A396" s="11" t="s">
        <v>21</v>
      </c>
      <c r="B396" s="11" t="s">
        <v>729</v>
      </c>
      <c r="C396" s="12" t="s">
        <v>42</v>
      </c>
      <c r="D396" s="12" t="s">
        <v>739</v>
      </c>
      <c r="E396" s="13">
        <v>1</v>
      </c>
      <c r="F396" s="111">
        <v>2027</v>
      </c>
      <c r="G396" s="13" t="s">
        <v>740</v>
      </c>
      <c r="H396" s="14" t="s">
        <v>554</v>
      </c>
      <c r="I396" s="14" t="s">
        <v>741</v>
      </c>
      <c r="J396" s="12" t="s">
        <v>555</v>
      </c>
      <c r="K396" s="15" t="s">
        <v>742</v>
      </c>
      <c r="O396" s="11" t="s">
        <v>743</v>
      </c>
    </row>
    <row r="397" spans="1:15" hidden="1" x14ac:dyDescent="0.25">
      <c r="A397" s="11" t="s">
        <v>134</v>
      </c>
      <c r="D397" s="12" t="s">
        <v>173</v>
      </c>
      <c r="G397" s="13" t="s">
        <v>259</v>
      </c>
      <c r="H397" s="14" t="s">
        <v>175</v>
      </c>
      <c r="I397" s="14" t="s">
        <v>260</v>
      </c>
      <c r="K397" s="15" t="s">
        <v>261</v>
      </c>
      <c r="O397" s="11" t="s">
        <v>3263</v>
      </c>
    </row>
    <row r="398" spans="1:15" hidden="1" x14ac:dyDescent="0.25">
      <c r="A398" s="11" t="s">
        <v>134</v>
      </c>
      <c r="D398" s="12" t="s">
        <v>173</v>
      </c>
      <c r="G398" s="13" t="s">
        <v>262</v>
      </c>
      <c r="H398" s="14" t="s">
        <v>175</v>
      </c>
      <c r="I398" s="14" t="s">
        <v>263</v>
      </c>
      <c r="K398" s="15" t="s">
        <v>264</v>
      </c>
      <c r="O398" s="11" t="s">
        <v>3263</v>
      </c>
    </row>
    <row r="399" spans="1:15" hidden="1" x14ac:dyDescent="0.25">
      <c r="A399" s="11" t="s">
        <v>21</v>
      </c>
      <c r="B399" s="11" t="s">
        <v>863</v>
      </c>
      <c r="C399" s="12" t="s">
        <v>42</v>
      </c>
      <c r="D399" s="12" t="s">
        <v>1037</v>
      </c>
      <c r="E399" s="13">
        <v>1</v>
      </c>
      <c r="F399" s="111">
        <v>2111</v>
      </c>
      <c r="G399" s="13" t="s">
        <v>1038</v>
      </c>
      <c r="H399" s="14" t="s">
        <v>274</v>
      </c>
      <c r="I399" s="14" t="s">
        <v>1039</v>
      </c>
      <c r="J399" s="12" t="s">
        <v>972</v>
      </c>
      <c r="K399" s="15" t="s">
        <v>1040</v>
      </c>
      <c r="O399" s="11" t="s">
        <v>1041</v>
      </c>
    </row>
    <row r="400" spans="1:15" hidden="1" x14ac:dyDescent="0.25">
      <c r="A400" s="11" t="s">
        <v>21</v>
      </c>
      <c r="B400" s="11" t="s">
        <v>863</v>
      </c>
      <c r="C400" s="12" t="s">
        <v>42</v>
      </c>
      <c r="D400" s="12" t="s">
        <v>1042</v>
      </c>
      <c r="E400" s="13">
        <v>1</v>
      </c>
      <c r="F400" s="111">
        <v>2111</v>
      </c>
      <c r="G400" s="13" t="s">
        <v>1043</v>
      </c>
      <c r="H400" s="14" t="s">
        <v>274</v>
      </c>
      <c r="I400" s="14" t="s">
        <v>1044</v>
      </c>
      <c r="J400" s="12" t="s">
        <v>972</v>
      </c>
      <c r="K400" s="15" t="s">
        <v>1045</v>
      </c>
      <c r="O400" s="11" t="s">
        <v>1046</v>
      </c>
    </row>
    <row r="401" spans="1:15" hidden="1" x14ac:dyDescent="0.25">
      <c r="A401" s="11" t="s">
        <v>21</v>
      </c>
      <c r="B401" s="11" t="s">
        <v>863</v>
      </c>
      <c r="C401" s="12" t="s">
        <v>42</v>
      </c>
      <c r="D401" s="12" t="s">
        <v>1047</v>
      </c>
      <c r="E401" s="13">
        <v>1</v>
      </c>
      <c r="F401" s="111">
        <v>2111</v>
      </c>
      <c r="G401" s="13" t="s">
        <v>1048</v>
      </c>
      <c r="H401" s="14" t="s">
        <v>274</v>
      </c>
      <c r="I401" s="14" t="s">
        <v>1049</v>
      </c>
      <c r="J401" s="12" t="s">
        <v>972</v>
      </c>
      <c r="K401" s="15" t="s">
        <v>1050</v>
      </c>
      <c r="O401" s="11" t="s">
        <v>1051</v>
      </c>
    </row>
    <row r="402" spans="1:15" hidden="1" x14ac:dyDescent="0.25">
      <c r="A402" s="11" t="s">
        <v>21</v>
      </c>
      <c r="B402" s="11" t="s">
        <v>863</v>
      </c>
      <c r="C402" s="12" t="s">
        <v>42</v>
      </c>
      <c r="D402" s="12" t="s">
        <v>1052</v>
      </c>
      <c r="E402" s="13">
        <v>1</v>
      </c>
      <c r="F402" s="111">
        <v>2111</v>
      </c>
      <c r="G402" s="13" t="s">
        <v>1053</v>
      </c>
      <c r="H402" s="14" t="s">
        <v>274</v>
      </c>
      <c r="I402" s="14" t="s">
        <v>1054</v>
      </c>
      <c r="J402" s="12" t="s">
        <v>972</v>
      </c>
      <c r="K402" s="15" t="s">
        <v>1055</v>
      </c>
      <c r="O402" s="11" t="s">
        <v>1056</v>
      </c>
    </row>
    <row r="403" spans="1:15" hidden="1" x14ac:dyDescent="0.25">
      <c r="A403" s="11" t="s">
        <v>21</v>
      </c>
      <c r="B403" s="11" t="s">
        <v>863</v>
      </c>
      <c r="C403" s="12" t="s">
        <v>42</v>
      </c>
      <c r="D403" s="12" t="s">
        <v>1057</v>
      </c>
      <c r="E403" s="13">
        <v>1</v>
      </c>
      <c r="F403" s="111">
        <v>2111</v>
      </c>
      <c r="G403" s="13" t="s">
        <v>1058</v>
      </c>
      <c r="H403" s="14" t="s">
        <v>274</v>
      </c>
      <c r="I403" s="14" t="s">
        <v>1059</v>
      </c>
      <c r="J403" s="12" t="s">
        <v>972</v>
      </c>
      <c r="K403" s="15" t="s">
        <v>1060</v>
      </c>
      <c r="O403" s="11" t="s">
        <v>1061</v>
      </c>
    </row>
    <row r="404" spans="1:15" hidden="1" x14ac:dyDescent="0.25">
      <c r="A404" s="11" t="s">
        <v>21</v>
      </c>
      <c r="B404" s="11" t="s">
        <v>863</v>
      </c>
      <c r="C404" s="12" t="s">
        <v>42</v>
      </c>
      <c r="D404" s="12" t="s">
        <v>1062</v>
      </c>
      <c r="E404" s="13">
        <v>1</v>
      </c>
      <c r="F404" s="111">
        <v>2111</v>
      </c>
      <c r="G404" s="13" t="s">
        <v>1063</v>
      </c>
      <c r="H404" s="14" t="s">
        <v>274</v>
      </c>
      <c r="I404" s="14" t="s">
        <v>1064</v>
      </c>
      <c r="J404" s="12" t="s">
        <v>972</v>
      </c>
      <c r="K404" s="15" t="s">
        <v>1065</v>
      </c>
      <c r="O404" s="11" t="s">
        <v>1066</v>
      </c>
    </row>
    <row r="405" spans="1:15" hidden="1" x14ac:dyDescent="0.25">
      <c r="A405" s="11" t="s">
        <v>21</v>
      </c>
      <c r="B405" s="11" t="s">
        <v>863</v>
      </c>
      <c r="C405" s="12" t="s">
        <v>42</v>
      </c>
      <c r="D405" s="12" t="s">
        <v>1067</v>
      </c>
      <c r="E405" s="13">
        <v>1</v>
      </c>
      <c r="F405" s="111">
        <v>2111</v>
      </c>
      <c r="G405" s="13" t="s">
        <v>1068</v>
      </c>
      <c r="H405" s="14" t="s">
        <v>274</v>
      </c>
      <c r="I405" s="14" t="s">
        <v>1069</v>
      </c>
      <c r="J405" s="12" t="s">
        <v>972</v>
      </c>
      <c r="K405" s="15" t="s">
        <v>1070</v>
      </c>
      <c r="O405" s="11" t="s">
        <v>1071</v>
      </c>
    </row>
    <row r="406" spans="1:15" hidden="1" x14ac:dyDescent="0.25">
      <c r="A406" s="11" t="s">
        <v>21</v>
      </c>
      <c r="B406" s="11" t="s">
        <v>863</v>
      </c>
      <c r="C406" s="12" t="s">
        <v>42</v>
      </c>
      <c r="D406" s="12" t="s">
        <v>1072</v>
      </c>
      <c r="E406" s="13">
        <v>1</v>
      </c>
      <c r="F406" s="111">
        <v>2111</v>
      </c>
      <c r="G406" s="13" t="s">
        <v>1073</v>
      </c>
      <c r="H406" s="14" t="s">
        <v>274</v>
      </c>
      <c r="I406" s="14" t="s">
        <v>1074</v>
      </c>
      <c r="J406" s="12" t="s">
        <v>972</v>
      </c>
      <c r="K406" s="15" t="s">
        <v>1075</v>
      </c>
      <c r="O406" s="11" t="s">
        <v>1076</v>
      </c>
    </row>
    <row r="407" spans="1:15" hidden="1" x14ac:dyDescent="0.25">
      <c r="A407" s="11" t="s">
        <v>21</v>
      </c>
      <c r="B407" s="11" t="s">
        <v>863</v>
      </c>
      <c r="C407" s="12" t="s">
        <v>42</v>
      </c>
      <c r="D407" s="12" t="s">
        <v>1077</v>
      </c>
      <c r="E407" s="13">
        <v>1</v>
      </c>
      <c r="F407" s="111">
        <v>2111</v>
      </c>
      <c r="G407" s="13" t="s">
        <v>1078</v>
      </c>
      <c r="H407" s="14" t="s">
        <v>274</v>
      </c>
      <c r="I407" s="14" t="s">
        <v>1079</v>
      </c>
      <c r="J407" s="12" t="s">
        <v>972</v>
      </c>
      <c r="K407" s="15" t="s">
        <v>1080</v>
      </c>
      <c r="O407" s="11" t="s">
        <v>1081</v>
      </c>
    </row>
    <row r="408" spans="1:15" hidden="1" x14ac:dyDescent="0.25">
      <c r="A408" s="11" t="s">
        <v>21</v>
      </c>
      <c r="B408" s="11" t="s">
        <v>863</v>
      </c>
      <c r="C408" s="12" t="s">
        <v>42</v>
      </c>
      <c r="D408" s="12" t="s">
        <v>1082</v>
      </c>
      <c r="E408" s="13">
        <v>1</v>
      </c>
      <c r="F408" s="111">
        <v>2111</v>
      </c>
      <c r="G408" s="13" t="s">
        <v>1083</v>
      </c>
      <c r="H408" s="14" t="s">
        <v>274</v>
      </c>
      <c r="I408" s="14" t="s">
        <v>1084</v>
      </c>
      <c r="J408" s="12" t="s">
        <v>661</v>
      </c>
      <c r="K408" s="15" t="s">
        <v>1085</v>
      </c>
      <c r="O408" s="11" t="s">
        <v>1086</v>
      </c>
    </row>
    <row r="409" spans="1:15" hidden="1" x14ac:dyDescent="0.25">
      <c r="A409" s="11" t="s">
        <v>21</v>
      </c>
      <c r="B409" s="11" t="s">
        <v>863</v>
      </c>
      <c r="C409" s="12" t="s">
        <v>42</v>
      </c>
      <c r="D409" s="12" t="s">
        <v>1087</v>
      </c>
      <c r="E409" s="13">
        <v>1</v>
      </c>
      <c r="F409" s="111">
        <v>2111</v>
      </c>
      <c r="G409" s="13" t="s">
        <v>1088</v>
      </c>
      <c r="H409" s="14" t="s">
        <v>274</v>
      </c>
      <c r="I409" s="14" t="s">
        <v>1089</v>
      </c>
      <c r="J409" s="12" t="s">
        <v>972</v>
      </c>
      <c r="K409" s="15" t="s">
        <v>1090</v>
      </c>
      <c r="O409" s="11" t="s">
        <v>1091</v>
      </c>
    </row>
    <row r="410" spans="1:15" hidden="1" x14ac:dyDescent="0.25">
      <c r="A410" s="11" t="s">
        <v>21</v>
      </c>
      <c r="B410" s="11" t="s">
        <v>863</v>
      </c>
      <c r="C410" s="12" t="s">
        <v>42</v>
      </c>
      <c r="D410" s="12" t="s">
        <v>1092</v>
      </c>
      <c r="E410" s="13">
        <v>1</v>
      </c>
      <c r="F410" s="111">
        <v>2111</v>
      </c>
      <c r="G410" s="13" t="s">
        <v>1093</v>
      </c>
      <c r="H410" s="14" t="s">
        <v>274</v>
      </c>
      <c r="I410" s="14" t="s">
        <v>1094</v>
      </c>
      <c r="J410" s="12" t="s">
        <v>972</v>
      </c>
      <c r="K410" s="15" t="s">
        <v>1095</v>
      </c>
      <c r="O410" s="11" t="s">
        <v>1096</v>
      </c>
    </row>
    <row r="411" spans="1:15" hidden="1" x14ac:dyDescent="0.25">
      <c r="A411" s="11" t="s">
        <v>21</v>
      </c>
      <c r="B411" s="11" t="s">
        <v>863</v>
      </c>
      <c r="C411" s="12" t="s">
        <v>42</v>
      </c>
      <c r="D411" s="12" t="s">
        <v>1103</v>
      </c>
      <c r="E411" s="13">
        <v>1</v>
      </c>
      <c r="F411" s="111">
        <v>2111</v>
      </c>
      <c r="G411" s="13" t="s">
        <v>1104</v>
      </c>
      <c r="H411" s="14" t="s">
        <v>274</v>
      </c>
      <c r="I411" s="14" t="s">
        <v>1105</v>
      </c>
      <c r="J411" s="12" t="s">
        <v>972</v>
      </c>
      <c r="K411" s="15" t="s">
        <v>1106</v>
      </c>
      <c r="O411" s="11" t="s">
        <v>1107</v>
      </c>
    </row>
    <row r="412" spans="1:15" hidden="1" x14ac:dyDescent="0.25">
      <c r="A412" s="11" t="s">
        <v>21</v>
      </c>
      <c r="B412" s="11" t="s">
        <v>863</v>
      </c>
      <c r="C412" s="12" t="s">
        <v>42</v>
      </c>
      <c r="D412" s="12" t="s">
        <v>1108</v>
      </c>
      <c r="E412" s="13">
        <v>1</v>
      </c>
      <c r="F412" s="111">
        <v>2111</v>
      </c>
      <c r="G412" s="13" t="s">
        <v>1109</v>
      </c>
      <c r="H412" s="14" t="s">
        <v>274</v>
      </c>
      <c r="I412" s="14" t="s">
        <v>1110</v>
      </c>
      <c r="J412" s="12" t="s">
        <v>661</v>
      </c>
      <c r="K412" s="15" t="s">
        <v>1111</v>
      </c>
      <c r="O412" s="11" t="s">
        <v>1112</v>
      </c>
    </row>
    <row r="413" spans="1:15" hidden="1" x14ac:dyDescent="0.25">
      <c r="A413" s="11" t="s">
        <v>21</v>
      </c>
      <c r="B413" s="11" t="s">
        <v>863</v>
      </c>
      <c r="C413" s="12" t="s">
        <v>42</v>
      </c>
      <c r="D413" s="12" t="s">
        <v>1113</v>
      </c>
      <c r="E413" s="13">
        <v>1</v>
      </c>
      <c r="F413" s="111">
        <v>2111</v>
      </c>
      <c r="G413" s="13" t="s">
        <v>1114</v>
      </c>
      <c r="H413" s="14" t="s">
        <v>274</v>
      </c>
      <c r="I413" s="14" t="s">
        <v>1115</v>
      </c>
      <c r="J413" s="12" t="s">
        <v>972</v>
      </c>
      <c r="K413" s="15" t="s">
        <v>1116</v>
      </c>
      <c r="O413" s="11" t="s">
        <v>1117</v>
      </c>
    </row>
    <row r="414" spans="1:15" hidden="1" x14ac:dyDescent="0.25">
      <c r="A414" s="11" t="s">
        <v>21</v>
      </c>
      <c r="B414" s="11" t="s">
        <v>863</v>
      </c>
      <c r="C414" s="12" t="s">
        <v>42</v>
      </c>
      <c r="D414" s="12" t="s">
        <v>1118</v>
      </c>
      <c r="E414" s="13">
        <v>1</v>
      </c>
      <c r="F414" s="111">
        <v>2111</v>
      </c>
      <c r="G414" s="13" t="s">
        <v>1119</v>
      </c>
      <c r="H414" s="14" t="s">
        <v>274</v>
      </c>
      <c r="I414" s="14" t="s">
        <v>1120</v>
      </c>
      <c r="J414" s="12" t="s">
        <v>972</v>
      </c>
      <c r="K414" s="15" t="s">
        <v>1121</v>
      </c>
      <c r="O414" s="11" t="s">
        <v>1122</v>
      </c>
    </row>
    <row r="415" spans="1:15" hidden="1" x14ac:dyDescent="0.25">
      <c r="A415" s="11" t="s">
        <v>134</v>
      </c>
      <c r="B415" s="11" t="s">
        <v>134</v>
      </c>
      <c r="C415" s="12" t="s">
        <v>134</v>
      </c>
      <c r="D415" s="12" t="s">
        <v>2</v>
      </c>
      <c r="E415" s="13" t="s">
        <v>2</v>
      </c>
      <c r="F415" s="111" t="s">
        <v>2</v>
      </c>
      <c r="G415" s="13" t="s">
        <v>2</v>
      </c>
      <c r="H415" s="14" t="s">
        <v>2</v>
      </c>
      <c r="I415" s="14" t="s">
        <v>21</v>
      </c>
      <c r="J415" s="12" t="s">
        <v>21</v>
      </c>
      <c r="K415" s="15" t="s">
        <v>21</v>
      </c>
      <c r="L415" s="16" t="s">
        <v>21</v>
      </c>
      <c r="M415" s="16" t="s">
        <v>23</v>
      </c>
      <c r="N415" s="58" t="s">
        <v>21</v>
      </c>
      <c r="O415" s="11" t="s">
        <v>23</v>
      </c>
    </row>
    <row r="416" spans="1:15" hidden="1" x14ac:dyDescent="0.25">
      <c r="A416" s="11" t="s">
        <v>21</v>
      </c>
      <c r="B416" s="11" t="s">
        <v>863</v>
      </c>
      <c r="C416" s="12" t="s">
        <v>42</v>
      </c>
      <c r="D416" s="12" t="s">
        <v>1092</v>
      </c>
      <c r="E416" s="13">
        <v>2</v>
      </c>
      <c r="F416" s="111">
        <v>2111</v>
      </c>
      <c r="G416" s="13" t="s">
        <v>1097</v>
      </c>
      <c r="H416" s="14" t="s">
        <v>274</v>
      </c>
      <c r="I416" s="14" t="s">
        <v>1098</v>
      </c>
      <c r="J416" s="12" t="s">
        <v>972</v>
      </c>
      <c r="K416" s="15" t="s">
        <v>1099</v>
      </c>
      <c r="O416" s="11" t="s">
        <v>1096</v>
      </c>
    </row>
    <row r="417" spans="1:15" hidden="1" x14ac:dyDescent="0.25">
      <c r="A417" s="11" t="s">
        <v>134</v>
      </c>
      <c r="B417" s="11" t="s">
        <v>134</v>
      </c>
      <c r="C417" s="12" t="s">
        <v>134</v>
      </c>
      <c r="D417" s="12" t="s">
        <v>2</v>
      </c>
      <c r="E417" s="13" t="s">
        <v>2</v>
      </c>
      <c r="F417" s="111" t="s">
        <v>2</v>
      </c>
      <c r="G417" s="13" t="s">
        <v>2</v>
      </c>
      <c r="H417" s="14" t="s">
        <v>2</v>
      </c>
      <c r="I417" s="14" t="s">
        <v>21</v>
      </c>
      <c r="J417" s="12" t="s">
        <v>21</v>
      </c>
      <c r="K417" s="15" t="s">
        <v>21</v>
      </c>
      <c r="L417" s="16" t="s">
        <v>21</v>
      </c>
      <c r="M417" s="16" t="s">
        <v>23</v>
      </c>
      <c r="N417" s="58" t="s">
        <v>21</v>
      </c>
      <c r="O417" s="11" t="s">
        <v>23</v>
      </c>
    </row>
    <row r="418" spans="1:15" hidden="1" x14ac:dyDescent="0.25">
      <c r="A418" s="11" t="s">
        <v>21</v>
      </c>
      <c r="B418" s="11" t="s">
        <v>863</v>
      </c>
      <c r="C418" s="12" t="s">
        <v>42</v>
      </c>
      <c r="D418" s="12" t="s">
        <v>1092</v>
      </c>
      <c r="E418" s="13">
        <v>3</v>
      </c>
      <c r="F418" s="111">
        <v>2111</v>
      </c>
      <c r="G418" s="13" t="s">
        <v>1100</v>
      </c>
      <c r="H418" s="14" t="s">
        <v>274</v>
      </c>
      <c r="I418" s="14" t="s">
        <v>1101</v>
      </c>
      <c r="J418" s="12" t="s">
        <v>972</v>
      </c>
      <c r="K418" s="15" t="s">
        <v>1102</v>
      </c>
      <c r="O418" s="11" t="s">
        <v>1096</v>
      </c>
    </row>
    <row r="419" spans="1:15" hidden="1" x14ac:dyDescent="0.25">
      <c r="A419" s="11" t="s">
        <v>0</v>
      </c>
      <c r="B419" s="11" t="s">
        <v>863</v>
      </c>
      <c r="C419" s="12" t="s">
        <v>42</v>
      </c>
      <c r="D419" s="12" t="s">
        <v>1783</v>
      </c>
      <c r="E419" s="13">
        <v>1</v>
      </c>
      <c r="F419" s="111">
        <v>2112</v>
      </c>
      <c r="G419" s="13" t="s">
        <v>1784</v>
      </c>
      <c r="H419" s="14" t="s">
        <v>274</v>
      </c>
      <c r="I419" s="14" t="s">
        <v>1785</v>
      </c>
      <c r="J419" s="12" t="s">
        <v>559</v>
      </c>
      <c r="K419" s="15" t="s">
        <v>1786</v>
      </c>
      <c r="O419" s="11" t="s">
        <v>1787</v>
      </c>
    </row>
    <row r="420" spans="1:15" hidden="1" x14ac:dyDescent="0.25">
      <c r="A420" s="11" t="s">
        <v>0</v>
      </c>
      <c r="B420" s="11" t="s">
        <v>863</v>
      </c>
      <c r="C420" s="12" t="s">
        <v>42</v>
      </c>
      <c r="D420" s="12" t="s">
        <v>1778</v>
      </c>
      <c r="E420" s="13">
        <v>1</v>
      </c>
      <c r="F420" s="111">
        <v>2112</v>
      </c>
      <c r="G420" s="13" t="s">
        <v>1779</v>
      </c>
      <c r="H420" s="14" t="s">
        <v>274</v>
      </c>
      <c r="I420" s="14" t="s">
        <v>1780</v>
      </c>
      <c r="J420" s="12" t="s">
        <v>559</v>
      </c>
      <c r="K420" s="15" t="s">
        <v>1781</v>
      </c>
      <c r="O420" s="11" t="s">
        <v>1782</v>
      </c>
    </row>
    <row r="421" spans="1:15" hidden="1" x14ac:dyDescent="0.25">
      <c r="A421" s="11" t="s">
        <v>21</v>
      </c>
      <c r="B421" s="11" t="s">
        <v>863</v>
      </c>
      <c r="C421" s="12" t="s">
        <v>42</v>
      </c>
      <c r="D421" s="12" t="s">
        <v>969</v>
      </c>
      <c r="E421" s="13">
        <v>1</v>
      </c>
      <c r="F421" s="111">
        <v>2113</v>
      </c>
      <c r="G421" s="13" t="s">
        <v>970</v>
      </c>
      <c r="H421" s="14" t="s">
        <v>274</v>
      </c>
      <c r="I421" s="14" t="s">
        <v>971</v>
      </c>
      <c r="J421" s="12" t="s">
        <v>972</v>
      </c>
      <c r="K421" s="15" t="s">
        <v>973</v>
      </c>
      <c r="O421" s="11" t="s">
        <v>974</v>
      </c>
    </row>
    <row r="422" spans="1:15" hidden="1" x14ac:dyDescent="0.25">
      <c r="A422" s="11" t="s">
        <v>21</v>
      </c>
      <c r="B422" s="11" t="s">
        <v>863</v>
      </c>
      <c r="C422" s="12" t="s">
        <v>42</v>
      </c>
      <c r="D422" s="12" t="s">
        <v>975</v>
      </c>
      <c r="E422" s="13">
        <v>1</v>
      </c>
      <c r="F422" s="111">
        <v>2113</v>
      </c>
      <c r="G422" s="13" t="s">
        <v>976</v>
      </c>
      <c r="H422" s="14" t="s">
        <v>274</v>
      </c>
      <c r="I422" s="14" t="s">
        <v>977</v>
      </c>
      <c r="J422" s="12" t="s">
        <v>972</v>
      </c>
      <c r="K422" s="15" t="s">
        <v>978</v>
      </c>
      <c r="O422" s="11" t="s">
        <v>979</v>
      </c>
    </row>
    <row r="423" spans="1:15" hidden="1" x14ac:dyDescent="0.25">
      <c r="A423" s="11" t="s">
        <v>134</v>
      </c>
      <c r="B423" s="11" t="s">
        <v>134</v>
      </c>
      <c r="C423" s="12" t="s">
        <v>134</v>
      </c>
      <c r="D423" s="12" t="s">
        <v>2</v>
      </c>
      <c r="E423" s="13" t="s">
        <v>2</v>
      </c>
      <c r="F423" s="111" t="s">
        <v>2</v>
      </c>
      <c r="G423" s="13" t="s">
        <v>2</v>
      </c>
      <c r="H423" s="14" t="s">
        <v>2</v>
      </c>
      <c r="I423" s="14" t="s">
        <v>21</v>
      </c>
      <c r="J423" s="12" t="s">
        <v>21</v>
      </c>
      <c r="K423" s="15" t="s">
        <v>21</v>
      </c>
      <c r="L423" s="16" t="s">
        <v>21</v>
      </c>
      <c r="M423" s="16" t="s">
        <v>23</v>
      </c>
      <c r="N423" s="58" t="s">
        <v>21</v>
      </c>
      <c r="O423" s="11" t="s">
        <v>23</v>
      </c>
    </row>
    <row r="424" spans="1:15" hidden="1" x14ac:dyDescent="0.25">
      <c r="A424" s="11" t="s">
        <v>21</v>
      </c>
      <c r="B424" s="11" t="s">
        <v>863</v>
      </c>
      <c r="C424" s="12" t="s">
        <v>42</v>
      </c>
      <c r="D424" s="12" t="s">
        <v>983</v>
      </c>
      <c r="E424" s="13">
        <v>1</v>
      </c>
      <c r="F424" s="111">
        <v>2113</v>
      </c>
      <c r="G424" s="13" t="s">
        <v>984</v>
      </c>
      <c r="H424" s="14" t="s">
        <v>274</v>
      </c>
      <c r="I424" s="14" t="s">
        <v>985</v>
      </c>
      <c r="J424" s="12" t="s">
        <v>972</v>
      </c>
      <c r="K424" s="15" t="s">
        <v>986</v>
      </c>
      <c r="O424" s="11" t="s">
        <v>987</v>
      </c>
    </row>
    <row r="425" spans="1:15" hidden="1" x14ac:dyDescent="0.25">
      <c r="A425" s="11" t="s">
        <v>21</v>
      </c>
      <c r="B425" s="11" t="s">
        <v>863</v>
      </c>
      <c r="C425" s="12" t="s">
        <v>42</v>
      </c>
      <c r="D425" s="12" t="s">
        <v>988</v>
      </c>
      <c r="E425" s="13">
        <v>1</v>
      </c>
      <c r="F425" s="111">
        <v>2113</v>
      </c>
      <c r="G425" s="13" t="s">
        <v>989</v>
      </c>
      <c r="H425" s="14" t="s">
        <v>274</v>
      </c>
      <c r="I425" s="14" t="s">
        <v>990</v>
      </c>
      <c r="J425" s="12" t="s">
        <v>972</v>
      </c>
      <c r="K425" s="15" t="s">
        <v>991</v>
      </c>
      <c r="O425" s="11" t="s">
        <v>992</v>
      </c>
    </row>
    <row r="426" spans="1:15" hidden="1" x14ac:dyDescent="0.25">
      <c r="A426" s="11" t="s">
        <v>21</v>
      </c>
      <c r="B426" s="11" t="s">
        <v>863</v>
      </c>
      <c r="C426" s="12" t="s">
        <v>42</v>
      </c>
      <c r="D426" s="12" t="s">
        <v>993</v>
      </c>
      <c r="E426" s="13">
        <v>1</v>
      </c>
      <c r="F426" s="111">
        <v>2113</v>
      </c>
      <c r="G426" s="13" t="s">
        <v>994</v>
      </c>
      <c r="H426" s="14" t="s">
        <v>274</v>
      </c>
      <c r="I426" s="14" t="s">
        <v>995</v>
      </c>
      <c r="J426" s="12" t="s">
        <v>972</v>
      </c>
      <c r="K426" s="15" t="s">
        <v>996</v>
      </c>
      <c r="O426" s="11" t="s">
        <v>997</v>
      </c>
    </row>
    <row r="427" spans="1:15" hidden="1" x14ac:dyDescent="0.25">
      <c r="A427" s="11" t="s">
        <v>21</v>
      </c>
      <c r="B427" s="11" t="s">
        <v>863</v>
      </c>
      <c r="C427" s="12" t="s">
        <v>42</v>
      </c>
      <c r="D427" s="12" t="s">
        <v>639</v>
      </c>
      <c r="E427" s="13">
        <v>1</v>
      </c>
      <c r="F427" s="111">
        <v>2113</v>
      </c>
      <c r="G427" s="13" t="s">
        <v>998</v>
      </c>
      <c r="H427" s="14" t="s">
        <v>274</v>
      </c>
      <c r="I427" s="14" t="s">
        <v>999</v>
      </c>
      <c r="J427" s="12" t="s">
        <v>972</v>
      </c>
      <c r="K427" s="15" t="s">
        <v>1000</v>
      </c>
      <c r="O427" s="11" t="s">
        <v>1001</v>
      </c>
    </row>
    <row r="428" spans="1:15" hidden="1" x14ac:dyDescent="0.25">
      <c r="A428" s="11" t="s">
        <v>21</v>
      </c>
      <c r="B428" s="11" t="s">
        <v>863</v>
      </c>
      <c r="C428" s="12" t="s">
        <v>42</v>
      </c>
      <c r="D428" s="12" t="s">
        <v>1002</v>
      </c>
      <c r="E428" s="13">
        <v>1</v>
      </c>
      <c r="F428" s="111">
        <v>2113</v>
      </c>
      <c r="G428" s="13" t="s">
        <v>1003</v>
      </c>
      <c r="H428" s="14" t="s">
        <v>274</v>
      </c>
      <c r="I428" s="14" t="s">
        <v>1004</v>
      </c>
      <c r="J428" s="12" t="s">
        <v>661</v>
      </c>
      <c r="K428" s="15" t="s">
        <v>1005</v>
      </c>
      <c r="O428" s="11" t="s">
        <v>1006</v>
      </c>
    </row>
    <row r="429" spans="1:15" hidden="1" x14ac:dyDescent="0.25">
      <c r="A429" s="11" t="s">
        <v>21</v>
      </c>
      <c r="B429" s="11" t="s">
        <v>863</v>
      </c>
      <c r="C429" s="12" t="s">
        <v>42</v>
      </c>
      <c r="D429" s="12" t="s">
        <v>1007</v>
      </c>
      <c r="E429" s="13">
        <v>1</v>
      </c>
      <c r="F429" s="111">
        <v>2113</v>
      </c>
      <c r="G429" s="13" t="s">
        <v>1008</v>
      </c>
      <c r="H429" s="14" t="s">
        <v>274</v>
      </c>
      <c r="I429" s="14" t="s">
        <v>1009</v>
      </c>
      <c r="J429" s="12" t="s">
        <v>972</v>
      </c>
      <c r="K429" s="15" t="s">
        <v>1010</v>
      </c>
      <c r="O429" s="11" t="s">
        <v>1011</v>
      </c>
    </row>
    <row r="430" spans="1:15" hidden="1" x14ac:dyDescent="0.25">
      <c r="A430" s="11" t="s">
        <v>21</v>
      </c>
      <c r="B430" s="11" t="s">
        <v>863</v>
      </c>
      <c r="C430" s="12" t="s">
        <v>42</v>
      </c>
      <c r="D430" s="12" t="s">
        <v>1012</v>
      </c>
      <c r="E430" s="13">
        <v>1</v>
      </c>
      <c r="F430" s="111">
        <v>2113</v>
      </c>
      <c r="G430" s="13" t="s">
        <v>1013</v>
      </c>
      <c r="H430" s="14" t="s">
        <v>274</v>
      </c>
      <c r="I430" s="14" t="s">
        <v>1014</v>
      </c>
      <c r="J430" s="12" t="s">
        <v>972</v>
      </c>
      <c r="K430" s="15" t="s">
        <v>1015</v>
      </c>
      <c r="O430" s="11" t="s">
        <v>1016</v>
      </c>
    </row>
    <row r="431" spans="1:15" hidden="1" x14ac:dyDescent="0.25">
      <c r="A431" s="11" t="s">
        <v>21</v>
      </c>
      <c r="B431" s="11" t="s">
        <v>863</v>
      </c>
      <c r="C431" s="12" t="s">
        <v>42</v>
      </c>
      <c r="D431" s="12" t="s">
        <v>1017</v>
      </c>
      <c r="E431" s="13">
        <v>1</v>
      </c>
      <c r="F431" s="111">
        <v>2113</v>
      </c>
      <c r="G431" s="13" t="s">
        <v>1018</v>
      </c>
      <c r="H431" s="14" t="s">
        <v>274</v>
      </c>
      <c r="I431" s="14" t="s">
        <v>1019</v>
      </c>
      <c r="J431" s="12" t="s">
        <v>972</v>
      </c>
      <c r="K431" s="15" t="s">
        <v>1020</v>
      </c>
      <c r="O431" s="11" t="s">
        <v>1021</v>
      </c>
    </row>
    <row r="432" spans="1:15" hidden="1" x14ac:dyDescent="0.25">
      <c r="A432" s="11" t="s">
        <v>134</v>
      </c>
      <c r="B432" s="11" t="s">
        <v>134</v>
      </c>
      <c r="C432" s="12" t="s">
        <v>134</v>
      </c>
      <c r="D432" s="12" t="s">
        <v>2</v>
      </c>
      <c r="E432" s="13" t="s">
        <v>2</v>
      </c>
      <c r="F432" s="111" t="s">
        <v>2</v>
      </c>
      <c r="G432" s="13" t="s">
        <v>2</v>
      </c>
      <c r="H432" s="14" t="s">
        <v>2</v>
      </c>
      <c r="I432" s="14" t="s">
        <v>21</v>
      </c>
      <c r="J432" s="12" t="s">
        <v>21</v>
      </c>
      <c r="K432" s="15" t="s">
        <v>21</v>
      </c>
      <c r="L432" s="16" t="s">
        <v>21</v>
      </c>
      <c r="M432" s="16" t="s">
        <v>23</v>
      </c>
      <c r="N432" s="58" t="s">
        <v>21</v>
      </c>
      <c r="O432" s="11" t="s">
        <v>23</v>
      </c>
    </row>
    <row r="433" spans="1:15" hidden="1" x14ac:dyDescent="0.25">
      <c r="A433" s="11" t="s">
        <v>21</v>
      </c>
      <c r="B433" s="11" t="s">
        <v>863</v>
      </c>
      <c r="C433" s="12" t="s">
        <v>42</v>
      </c>
      <c r="D433" s="12" t="s">
        <v>1022</v>
      </c>
      <c r="E433" s="13">
        <v>1</v>
      </c>
      <c r="F433" s="111">
        <v>2113</v>
      </c>
      <c r="G433" s="13" t="s">
        <v>1023</v>
      </c>
      <c r="H433" s="14" t="s">
        <v>274</v>
      </c>
      <c r="I433" s="14" t="s">
        <v>1024</v>
      </c>
      <c r="J433" s="12" t="s">
        <v>972</v>
      </c>
      <c r="K433" s="15" t="s">
        <v>1025</v>
      </c>
      <c r="O433" s="11" t="s">
        <v>1026</v>
      </c>
    </row>
    <row r="434" spans="1:15" hidden="1" x14ac:dyDescent="0.25">
      <c r="A434" s="11" t="s">
        <v>21</v>
      </c>
      <c r="B434" s="11" t="s">
        <v>863</v>
      </c>
      <c r="C434" s="12" t="s">
        <v>42</v>
      </c>
      <c r="D434" s="12" t="s">
        <v>1027</v>
      </c>
      <c r="E434" s="13">
        <v>1</v>
      </c>
      <c r="F434" s="111">
        <v>2113</v>
      </c>
      <c r="G434" s="13" t="s">
        <v>1028</v>
      </c>
      <c r="H434" s="14" t="s">
        <v>274</v>
      </c>
      <c r="I434" s="14" t="s">
        <v>1029</v>
      </c>
      <c r="J434" s="12" t="s">
        <v>972</v>
      </c>
      <c r="K434" s="15" t="s">
        <v>1030</v>
      </c>
      <c r="O434" s="11" t="s">
        <v>1031</v>
      </c>
    </row>
    <row r="435" spans="1:15" hidden="1" x14ac:dyDescent="0.25">
      <c r="A435" s="11" t="s">
        <v>21</v>
      </c>
      <c r="B435" s="11" t="s">
        <v>863</v>
      </c>
      <c r="C435" s="12" t="s">
        <v>42</v>
      </c>
      <c r="D435" s="12" t="s">
        <v>1032</v>
      </c>
      <c r="E435" s="13">
        <v>1</v>
      </c>
      <c r="F435" s="111">
        <v>2113</v>
      </c>
      <c r="G435" s="13" t="s">
        <v>1033</v>
      </c>
      <c r="H435" s="14" t="s">
        <v>274</v>
      </c>
      <c r="I435" s="14" t="s">
        <v>1034</v>
      </c>
      <c r="J435" s="12" t="s">
        <v>972</v>
      </c>
      <c r="K435" s="15" t="s">
        <v>1035</v>
      </c>
      <c r="O435" s="11" t="s">
        <v>1036</v>
      </c>
    </row>
    <row r="436" spans="1:15" hidden="1" x14ac:dyDescent="0.25">
      <c r="A436" s="11" t="s">
        <v>21</v>
      </c>
      <c r="B436" s="11" t="s">
        <v>863</v>
      </c>
      <c r="C436" s="12" t="s">
        <v>42</v>
      </c>
      <c r="D436" s="12" t="s">
        <v>1123</v>
      </c>
      <c r="E436" s="13">
        <v>1</v>
      </c>
      <c r="F436" s="111">
        <v>2113</v>
      </c>
      <c r="G436" s="13" t="s">
        <v>1124</v>
      </c>
      <c r="H436" s="14" t="s">
        <v>274</v>
      </c>
      <c r="I436" s="14" t="s">
        <v>1125</v>
      </c>
      <c r="J436" s="12" t="s">
        <v>972</v>
      </c>
      <c r="K436" s="15" t="s">
        <v>1126</v>
      </c>
      <c r="O436" s="11" t="s">
        <v>1127</v>
      </c>
    </row>
    <row r="437" spans="1:15" hidden="1" x14ac:dyDescent="0.25">
      <c r="A437" s="11" t="s">
        <v>21</v>
      </c>
      <c r="B437" s="11" t="s">
        <v>863</v>
      </c>
      <c r="C437" s="12" t="s">
        <v>42</v>
      </c>
      <c r="D437" s="12" t="s">
        <v>2051</v>
      </c>
      <c r="E437" s="13">
        <v>1</v>
      </c>
      <c r="F437" s="111">
        <v>2113</v>
      </c>
      <c r="G437" s="13" t="s">
        <v>2059</v>
      </c>
      <c r="H437" s="14" t="s">
        <v>274</v>
      </c>
      <c r="I437" s="14" t="s">
        <v>2060</v>
      </c>
      <c r="J437" s="12" t="s">
        <v>972</v>
      </c>
      <c r="K437" s="15" t="s">
        <v>2061</v>
      </c>
      <c r="O437" s="11" t="s">
        <v>2055</v>
      </c>
    </row>
    <row r="438" spans="1:15" hidden="1" x14ac:dyDescent="0.25">
      <c r="A438" s="11" t="s">
        <v>21</v>
      </c>
      <c r="B438" s="11" t="s">
        <v>863</v>
      </c>
      <c r="C438" s="12" t="s">
        <v>42</v>
      </c>
      <c r="D438" s="12" t="s">
        <v>975</v>
      </c>
      <c r="E438" s="13">
        <v>2</v>
      </c>
      <c r="F438" s="111">
        <v>2113</v>
      </c>
      <c r="G438" s="13" t="s">
        <v>980</v>
      </c>
      <c r="H438" s="14" t="s">
        <v>274</v>
      </c>
      <c r="I438" s="14" t="s">
        <v>981</v>
      </c>
      <c r="J438" s="12" t="s">
        <v>972</v>
      </c>
      <c r="K438" s="15" t="s">
        <v>982</v>
      </c>
      <c r="O438" s="11" t="s">
        <v>979</v>
      </c>
    </row>
    <row r="439" spans="1:15" hidden="1" x14ac:dyDescent="0.25">
      <c r="A439" s="11" t="s">
        <v>134</v>
      </c>
      <c r="B439" s="11" t="s">
        <v>134</v>
      </c>
      <c r="C439" s="12" t="s">
        <v>134</v>
      </c>
      <c r="D439" s="12" t="s">
        <v>2</v>
      </c>
      <c r="E439" s="13" t="s">
        <v>2</v>
      </c>
      <c r="F439" s="111" t="s">
        <v>2</v>
      </c>
      <c r="G439" s="13" t="s">
        <v>2</v>
      </c>
      <c r="H439" s="14" t="s">
        <v>2</v>
      </c>
      <c r="I439" s="14" t="s">
        <v>21</v>
      </c>
      <c r="J439" s="12" t="s">
        <v>21</v>
      </c>
      <c r="K439" s="15" t="s">
        <v>21</v>
      </c>
      <c r="L439" s="16" t="s">
        <v>21</v>
      </c>
      <c r="M439" s="16" t="s">
        <v>23</v>
      </c>
      <c r="N439" s="58" t="s">
        <v>21</v>
      </c>
      <c r="O439" s="11" t="s">
        <v>23</v>
      </c>
    </row>
    <row r="440" spans="1:15" hidden="1" x14ac:dyDescent="0.25">
      <c r="A440" s="11" t="s">
        <v>21</v>
      </c>
      <c r="B440" s="11" t="s">
        <v>863</v>
      </c>
      <c r="C440" s="12" t="s">
        <v>42</v>
      </c>
      <c r="D440" s="12" t="s">
        <v>2051</v>
      </c>
      <c r="E440" s="13">
        <v>2</v>
      </c>
      <c r="F440" s="111">
        <v>2113</v>
      </c>
      <c r="G440" s="13" t="s">
        <v>2056</v>
      </c>
      <c r="H440" s="14" t="s">
        <v>274</v>
      </c>
      <c r="I440" s="14" t="s">
        <v>2057</v>
      </c>
      <c r="J440" s="12" t="s">
        <v>972</v>
      </c>
      <c r="K440" s="15" t="s">
        <v>2058</v>
      </c>
      <c r="O440" s="11" t="s">
        <v>2055</v>
      </c>
    </row>
    <row r="441" spans="1:15" hidden="1" x14ac:dyDescent="0.25">
      <c r="A441" s="11" t="s">
        <v>134</v>
      </c>
      <c r="B441" s="11" t="s">
        <v>134</v>
      </c>
      <c r="C441" s="12" t="s">
        <v>134</v>
      </c>
      <c r="D441" s="12" t="s">
        <v>2</v>
      </c>
      <c r="E441" s="13" t="s">
        <v>2</v>
      </c>
      <c r="F441" s="111" t="s">
        <v>2</v>
      </c>
      <c r="G441" s="13" t="s">
        <v>2</v>
      </c>
      <c r="H441" s="14" t="s">
        <v>2</v>
      </c>
      <c r="I441" s="14" t="s">
        <v>21</v>
      </c>
      <c r="J441" s="12" t="s">
        <v>21</v>
      </c>
      <c r="K441" s="15" t="s">
        <v>21</v>
      </c>
      <c r="L441" s="16" t="s">
        <v>21</v>
      </c>
      <c r="M441" s="16" t="s">
        <v>23</v>
      </c>
      <c r="N441" s="58" t="s">
        <v>21</v>
      </c>
      <c r="O441" s="11" t="s">
        <v>23</v>
      </c>
    </row>
    <row r="442" spans="1:15" hidden="1" x14ac:dyDescent="0.25">
      <c r="A442" s="11" t="s">
        <v>21</v>
      </c>
      <c r="B442" s="11" t="s">
        <v>863</v>
      </c>
      <c r="C442" s="12" t="s">
        <v>42</v>
      </c>
      <c r="D442" s="12" t="s">
        <v>2051</v>
      </c>
      <c r="E442" s="13">
        <v>3</v>
      </c>
      <c r="F442" s="111">
        <v>2113</v>
      </c>
      <c r="G442" s="13" t="s">
        <v>2052</v>
      </c>
      <c r="H442" s="14" t="s">
        <v>274</v>
      </c>
      <c r="I442" s="14" t="s">
        <v>2053</v>
      </c>
      <c r="J442" s="12" t="s">
        <v>972</v>
      </c>
      <c r="K442" s="15" t="s">
        <v>2054</v>
      </c>
      <c r="O442" s="11" t="s">
        <v>2055</v>
      </c>
    </row>
    <row r="443" spans="1:15" hidden="1" x14ac:dyDescent="0.25">
      <c r="A443" s="11" t="s">
        <v>21</v>
      </c>
      <c r="B443" s="11" t="s">
        <v>863</v>
      </c>
      <c r="C443" s="12" t="s">
        <v>42</v>
      </c>
      <c r="D443" s="12" t="s">
        <v>2051</v>
      </c>
      <c r="E443" s="13">
        <v>4</v>
      </c>
      <c r="F443" s="111">
        <v>2113</v>
      </c>
      <c r="G443" s="13" t="s">
        <v>2069</v>
      </c>
      <c r="H443" s="14" t="s">
        <v>274</v>
      </c>
      <c r="I443" s="14" t="s">
        <v>2070</v>
      </c>
      <c r="J443" s="12" t="s">
        <v>972</v>
      </c>
      <c r="K443" s="15" t="s">
        <v>2071</v>
      </c>
      <c r="O443" s="11" t="s">
        <v>2055</v>
      </c>
    </row>
    <row r="444" spans="1:15" hidden="1" x14ac:dyDescent="0.25">
      <c r="A444" s="11" t="s">
        <v>134</v>
      </c>
      <c r="D444" s="12" t="s">
        <v>173</v>
      </c>
      <c r="G444" s="13" t="s">
        <v>265</v>
      </c>
      <c r="H444" s="14" t="s">
        <v>175</v>
      </c>
      <c r="I444" s="14" t="s">
        <v>266</v>
      </c>
      <c r="K444" s="15" t="s">
        <v>267</v>
      </c>
      <c r="O444" s="11" t="s">
        <v>3263</v>
      </c>
    </row>
    <row r="445" spans="1:15" hidden="1" x14ac:dyDescent="0.25">
      <c r="A445" s="11" t="s">
        <v>134</v>
      </c>
      <c r="D445" s="12" t="s">
        <v>173</v>
      </c>
      <c r="G445" s="13" t="s">
        <v>268</v>
      </c>
      <c r="H445" s="14" t="s">
        <v>175</v>
      </c>
      <c r="I445" s="14" t="s">
        <v>269</v>
      </c>
      <c r="K445" s="15" t="s">
        <v>270</v>
      </c>
      <c r="O445" s="11" t="s">
        <v>3263</v>
      </c>
    </row>
    <row r="446" spans="1:15" hidden="1" x14ac:dyDescent="0.25">
      <c r="A446" s="11" t="s">
        <v>21</v>
      </c>
      <c r="B446" s="11" t="s">
        <v>863</v>
      </c>
      <c r="C446" s="12" t="s">
        <v>553</v>
      </c>
      <c r="D446" s="12" t="s">
        <v>2012</v>
      </c>
      <c r="E446" s="13">
        <v>1</v>
      </c>
      <c r="F446" s="111">
        <v>2211</v>
      </c>
      <c r="G446" s="13" t="s">
        <v>2013</v>
      </c>
      <c r="H446" s="14" t="s">
        <v>274</v>
      </c>
      <c r="I446" s="14" t="s">
        <v>2014</v>
      </c>
      <c r="J446" s="12" t="s">
        <v>661</v>
      </c>
      <c r="K446" s="15" t="s">
        <v>2015</v>
      </c>
      <c r="O446" s="11" t="s">
        <v>2016</v>
      </c>
    </row>
    <row r="447" spans="1:15" hidden="1" x14ac:dyDescent="0.25">
      <c r="A447" s="11" t="s">
        <v>21</v>
      </c>
      <c r="B447" s="11" t="s">
        <v>863</v>
      </c>
      <c r="C447" s="12" t="s">
        <v>553</v>
      </c>
      <c r="D447" s="12" t="s">
        <v>2017</v>
      </c>
      <c r="E447" s="13">
        <v>1</v>
      </c>
      <c r="F447" s="111">
        <v>2211</v>
      </c>
      <c r="G447" s="13" t="s">
        <v>2018</v>
      </c>
      <c r="H447" s="14" t="s">
        <v>274</v>
      </c>
      <c r="I447" s="14" t="s">
        <v>2019</v>
      </c>
      <c r="J447" s="12" t="s">
        <v>972</v>
      </c>
      <c r="K447" s="15" t="s">
        <v>2020</v>
      </c>
      <c r="O447" s="11" t="s">
        <v>2021</v>
      </c>
    </row>
    <row r="448" spans="1:15" hidden="1" x14ac:dyDescent="0.25">
      <c r="A448" s="11" t="s">
        <v>21</v>
      </c>
      <c r="B448" s="11" t="s">
        <v>863</v>
      </c>
      <c r="C448" s="12" t="s">
        <v>553</v>
      </c>
      <c r="D448" s="12" t="s">
        <v>606</v>
      </c>
      <c r="E448" s="13">
        <v>1</v>
      </c>
      <c r="F448" s="111">
        <v>2211</v>
      </c>
      <c r="G448" s="13" t="s">
        <v>2022</v>
      </c>
      <c r="H448" s="14" t="s">
        <v>274</v>
      </c>
      <c r="I448" s="14" t="s">
        <v>2023</v>
      </c>
      <c r="J448" s="12" t="s">
        <v>972</v>
      </c>
      <c r="K448" s="15" t="s">
        <v>2024</v>
      </c>
      <c r="O448" s="11" t="s">
        <v>2025</v>
      </c>
    </row>
    <row r="449" spans="1:15" hidden="1" x14ac:dyDescent="0.25">
      <c r="A449" s="11" t="s">
        <v>21</v>
      </c>
      <c r="B449" s="11" t="s">
        <v>863</v>
      </c>
      <c r="C449" s="12" t="s">
        <v>553</v>
      </c>
      <c r="D449" s="12" t="s">
        <v>611</v>
      </c>
      <c r="E449" s="13">
        <v>1</v>
      </c>
      <c r="F449" s="111">
        <v>2211</v>
      </c>
      <c r="G449" s="13" t="s">
        <v>2026</v>
      </c>
      <c r="H449" s="14" t="s">
        <v>274</v>
      </c>
      <c r="I449" s="14" t="s">
        <v>2027</v>
      </c>
      <c r="J449" s="12" t="s">
        <v>972</v>
      </c>
      <c r="K449" s="15" t="s">
        <v>2028</v>
      </c>
      <c r="O449" s="11" t="s">
        <v>2029</v>
      </c>
    </row>
    <row r="450" spans="1:15" hidden="1" x14ac:dyDescent="0.25">
      <c r="A450" s="11" t="s">
        <v>21</v>
      </c>
      <c r="B450" s="11" t="s">
        <v>863</v>
      </c>
      <c r="C450" s="12" t="s">
        <v>553</v>
      </c>
      <c r="D450" s="12" t="s">
        <v>616</v>
      </c>
      <c r="E450" s="13">
        <v>1</v>
      </c>
      <c r="F450" s="111">
        <v>2211</v>
      </c>
      <c r="G450" s="13" t="s">
        <v>2030</v>
      </c>
      <c r="H450" s="14" t="s">
        <v>274</v>
      </c>
      <c r="I450" s="14" t="s">
        <v>2031</v>
      </c>
      <c r="J450" s="12" t="s">
        <v>972</v>
      </c>
      <c r="K450" s="15" t="s">
        <v>2032</v>
      </c>
      <c r="O450" s="11" t="s">
        <v>2033</v>
      </c>
    </row>
    <row r="451" spans="1:15" hidden="1" x14ac:dyDescent="0.25">
      <c r="A451" s="11" t="s">
        <v>21</v>
      </c>
      <c r="B451" s="11" t="s">
        <v>863</v>
      </c>
      <c r="C451" s="12" t="s">
        <v>553</v>
      </c>
      <c r="D451" s="12" t="s">
        <v>601</v>
      </c>
      <c r="E451" s="13">
        <v>1</v>
      </c>
      <c r="F451" s="111">
        <v>2211</v>
      </c>
      <c r="G451" s="13" t="s">
        <v>2034</v>
      </c>
      <c r="H451" s="14" t="s">
        <v>274</v>
      </c>
      <c r="I451" s="14" t="s">
        <v>2035</v>
      </c>
      <c r="J451" s="12" t="s">
        <v>972</v>
      </c>
      <c r="K451" s="15" t="s">
        <v>2036</v>
      </c>
      <c r="O451" s="11" t="s">
        <v>2037</v>
      </c>
    </row>
    <row r="452" spans="1:15" hidden="1" x14ac:dyDescent="0.25">
      <c r="A452" s="11" t="s">
        <v>21</v>
      </c>
      <c r="B452" s="11" t="s">
        <v>863</v>
      </c>
      <c r="C452" s="12" t="s">
        <v>553</v>
      </c>
      <c r="D452" s="12" t="s">
        <v>2038</v>
      </c>
      <c r="E452" s="13">
        <v>1</v>
      </c>
      <c r="F452" s="111">
        <v>2211</v>
      </c>
      <c r="G452" s="13" t="s">
        <v>2039</v>
      </c>
      <c r="H452" s="14" t="s">
        <v>274</v>
      </c>
      <c r="I452" s="14" t="s">
        <v>2040</v>
      </c>
      <c r="J452" s="12" t="s">
        <v>972</v>
      </c>
      <c r="K452" s="15" t="s">
        <v>2041</v>
      </c>
      <c r="O452" s="11" t="s">
        <v>2042</v>
      </c>
    </row>
    <row r="453" spans="1:15" hidden="1" x14ac:dyDescent="0.25">
      <c r="A453" s="11" t="s">
        <v>21</v>
      </c>
      <c r="B453" s="11" t="s">
        <v>863</v>
      </c>
      <c r="C453" s="12" t="s">
        <v>553</v>
      </c>
      <c r="D453" s="12" t="s">
        <v>2043</v>
      </c>
      <c r="E453" s="13">
        <v>1</v>
      </c>
      <c r="F453" s="111">
        <v>2211</v>
      </c>
      <c r="G453" s="13" t="s">
        <v>2044</v>
      </c>
      <c r="H453" s="14" t="s">
        <v>274</v>
      </c>
      <c r="I453" s="14" t="s">
        <v>2045</v>
      </c>
      <c r="J453" s="12" t="s">
        <v>972</v>
      </c>
      <c r="K453" s="15" t="s">
        <v>2046</v>
      </c>
      <c r="O453" s="11" t="s">
        <v>2047</v>
      </c>
    </row>
    <row r="454" spans="1:15" hidden="1" x14ac:dyDescent="0.25">
      <c r="A454" s="11" t="s">
        <v>21</v>
      </c>
      <c r="B454" s="11" t="s">
        <v>863</v>
      </c>
      <c r="C454" s="12" t="s">
        <v>553</v>
      </c>
      <c r="D454" s="12" t="s">
        <v>2149</v>
      </c>
      <c r="E454" s="13">
        <v>1</v>
      </c>
      <c r="F454" s="111">
        <v>2211</v>
      </c>
      <c r="G454" s="13" t="s">
        <v>2150</v>
      </c>
      <c r="H454" s="14" t="s">
        <v>274</v>
      </c>
      <c r="I454" s="14" t="s">
        <v>2151</v>
      </c>
      <c r="J454" s="12" t="s">
        <v>972</v>
      </c>
      <c r="K454" s="15" t="s">
        <v>2152</v>
      </c>
      <c r="O454" s="11" t="s">
        <v>2153</v>
      </c>
    </row>
    <row r="455" spans="1:15" hidden="1" x14ac:dyDescent="0.25">
      <c r="A455" s="11" t="s">
        <v>21</v>
      </c>
      <c r="B455" s="11" t="s">
        <v>863</v>
      </c>
      <c r="C455" s="12" t="s">
        <v>553</v>
      </c>
      <c r="D455" s="12" t="s">
        <v>2149</v>
      </c>
      <c r="E455" s="13">
        <v>2</v>
      </c>
      <c r="F455" s="111">
        <v>2211</v>
      </c>
      <c r="G455" s="13" t="s">
        <v>2211</v>
      </c>
      <c r="H455" s="14" t="s">
        <v>274</v>
      </c>
      <c r="I455" s="14" t="s">
        <v>2212</v>
      </c>
      <c r="J455" s="12" t="s">
        <v>661</v>
      </c>
      <c r="K455" s="15" t="s">
        <v>2213</v>
      </c>
      <c r="O455" s="11" t="s">
        <v>2153</v>
      </c>
    </row>
    <row r="456" spans="1:15" hidden="1" x14ac:dyDescent="0.25">
      <c r="A456" s="11" t="s">
        <v>23</v>
      </c>
      <c r="B456" s="11" t="s">
        <v>863</v>
      </c>
      <c r="C456" s="12" t="s">
        <v>553</v>
      </c>
      <c r="D456" s="12" t="s">
        <v>1568</v>
      </c>
      <c r="E456" s="13">
        <v>1</v>
      </c>
      <c r="F456" s="111">
        <v>2212</v>
      </c>
      <c r="G456" s="13" t="s">
        <v>1579</v>
      </c>
      <c r="H456" s="14" t="s">
        <v>274</v>
      </c>
      <c r="I456" s="14" t="s">
        <v>1580</v>
      </c>
      <c r="J456" s="12" t="s">
        <v>972</v>
      </c>
      <c r="K456" s="15" t="s">
        <v>1581</v>
      </c>
      <c r="O456" s="11" t="s">
        <v>1572</v>
      </c>
    </row>
    <row r="457" spans="1:15" hidden="1" x14ac:dyDescent="0.25">
      <c r="A457" s="11" t="s">
        <v>21</v>
      </c>
      <c r="B457" s="11" t="s">
        <v>863</v>
      </c>
      <c r="C457" s="12" t="s">
        <v>553</v>
      </c>
      <c r="D457" s="12" t="s">
        <v>641</v>
      </c>
      <c r="E457" s="13">
        <v>1</v>
      </c>
      <c r="F457" s="111">
        <v>2212</v>
      </c>
      <c r="G457" s="13" t="s">
        <v>1595</v>
      </c>
      <c r="H457" s="14" t="s">
        <v>274</v>
      </c>
      <c r="I457" s="14" t="s">
        <v>1596</v>
      </c>
      <c r="J457" s="12" t="s">
        <v>972</v>
      </c>
      <c r="K457" s="15" t="s">
        <v>1597</v>
      </c>
      <c r="O457" s="11" t="s">
        <v>1585</v>
      </c>
    </row>
    <row r="458" spans="1:15" hidden="1" x14ac:dyDescent="0.25">
      <c r="A458" s="11" t="s">
        <v>23</v>
      </c>
      <c r="B458" s="11" t="s">
        <v>863</v>
      </c>
      <c r="C458" s="12" t="s">
        <v>553</v>
      </c>
      <c r="D458" s="12" t="s">
        <v>1568</v>
      </c>
      <c r="E458" s="13">
        <v>2</v>
      </c>
      <c r="F458" s="111">
        <v>2212</v>
      </c>
      <c r="G458" s="13" t="s">
        <v>1576</v>
      </c>
      <c r="H458" s="14" t="s">
        <v>274</v>
      </c>
      <c r="I458" s="14" t="s">
        <v>1577</v>
      </c>
      <c r="J458" s="12" t="s">
        <v>972</v>
      </c>
      <c r="K458" s="15" t="s">
        <v>1578</v>
      </c>
      <c r="O458" s="11" t="s">
        <v>1572</v>
      </c>
    </row>
    <row r="459" spans="1:15" hidden="1" x14ac:dyDescent="0.25">
      <c r="A459" s="11" t="s">
        <v>21</v>
      </c>
      <c r="B459" s="11" t="s">
        <v>863</v>
      </c>
      <c r="C459" s="12" t="s">
        <v>553</v>
      </c>
      <c r="D459" s="12" t="s">
        <v>641</v>
      </c>
      <c r="E459" s="13">
        <v>2</v>
      </c>
      <c r="F459" s="111">
        <v>2212</v>
      </c>
      <c r="G459" s="13" t="s">
        <v>1592</v>
      </c>
      <c r="H459" s="14" t="s">
        <v>274</v>
      </c>
      <c r="I459" s="14" t="s">
        <v>1593</v>
      </c>
      <c r="J459" s="12" t="s">
        <v>972</v>
      </c>
      <c r="K459" s="15" t="s">
        <v>1594</v>
      </c>
      <c r="O459" s="11" t="s">
        <v>1585</v>
      </c>
    </row>
    <row r="460" spans="1:15" hidden="1" x14ac:dyDescent="0.25">
      <c r="A460" s="11" t="s">
        <v>23</v>
      </c>
      <c r="B460" s="11" t="s">
        <v>863</v>
      </c>
      <c r="C460" s="12" t="s">
        <v>553</v>
      </c>
      <c r="D460" s="12" t="s">
        <v>1568</v>
      </c>
      <c r="E460" s="13">
        <v>3</v>
      </c>
      <c r="F460" s="111">
        <v>2212</v>
      </c>
      <c r="G460" s="13" t="s">
        <v>1573</v>
      </c>
      <c r="H460" s="14" t="s">
        <v>274</v>
      </c>
      <c r="I460" s="14" t="s">
        <v>1574</v>
      </c>
      <c r="J460" s="12" t="s">
        <v>972</v>
      </c>
      <c r="K460" s="15" t="s">
        <v>1575</v>
      </c>
      <c r="O460" s="11" t="s">
        <v>1572</v>
      </c>
    </row>
    <row r="461" spans="1:15" hidden="1" x14ac:dyDescent="0.25">
      <c r="A461" s="11" t="s">
        <v>21</v>
      </c>
      <c r="B461" s="11" t="s">
        <v>863</v>
      </c>
      <c r="C461" s="12" t="s">
        <v>553</v>
      </c>
      <c r="D461" s="12" t="s">
        <v>641</v>
      </c>
      <c r="E461" s="13">
        <v>3</v>
      </c>
      <c r="F461" s="111">
        <v>2212</v>
      </c>
      <c r="G461" s="13" t="s">
        <v>1589</v>
      </c>
      <c r="H461" s="14" t="s">
        <v>274</v>
      </c>
      <c r="I461" s="14" t="s">
        <v>1590</v>
      </c>
      <c r="J461" s="12" t="s">
        <v>972</v>
      </c>
      <c r="K461" s="15" t="s">
        <v>1591</v>
      </c>
      <c r="O461" s="11" t="s">
        <v>1585</v>
      </c>
    </row>
    <row r="462" spans="1:15" hidden="1" x14ac:dyDescent="0.25">
      <c r="A462" s="11" t="s">
        <v>23</v>
      </c>
      <c r="B462" s="11" t="s">
        <v>863</v>
      </c>
      <c r="C462" s="12" t="s">
        <v>553</v>
      </c>
      <c r="D462" s="12" t="s">
        <v>1568</v>
      </c>
      <c r="E462" s="13">
        <v>4</v>
      </c>
      <c r="F462" s="111">
        <v>2212</v>
      </c>
      <c r="G462" s="13" t="s">
        <v>1569</v>
      </c>
      <c r="H462" s="14" t="s">
        <v>274</v>
      </c>
      <c r="I462" s="14" t="s">
        <v>1570</v>
      </c>
      <c r="J462" s="12" t="s">
        <v>972</v>
      </c>
      <c r="K462" s="15" t="s">
        <v>1571</v>
      </c>
      <c r="O462" s="11" t="s">
        <v>1572</v>
      </c>
    </row>
    <row r="463" spans="1:15" hidden="1" x14ac:dyDescent="0.25">
      <c r="A463" s="11" t="s">
        <v>21</v>
      </c>
      <c r="B463" s="11" t="s">
        <v>863</v>
      </c>
      <c r="C463" s="12" t="s">
        <v>553</v>
      </c>
      <c r="D463" s="12" t="s">
        <v>641</v>
      </c>
      <c r="E463" s="13">
        <v>4</v>
      </c>
      <c r="F463" s="111">
        <v>2212</v>
      </c>
      <c r="G463" s="13" t="s">
        <v>1586</v>
      </c>
      <c r="H463" s="14" t="s">
        <v>274</v>
      </c>
      <c r="I463" s="14" t="s">
        <v>1587</v>
      </c>
      <c r="J463" s="12" t="s">
        <v>972</v>
      </c>
      <c r="K463" s="15" t="s">
        <v>1588</v>
      </c>
      <c r="O463" s="11" t="s">
        <v>1585</v>
      </c>
    </row>
    <row r="464" spans="1:15" hidden="1" x14ac:dyDescent="0.25">
      <c r="A464" s="11" t="s">
        <v>21</v>
      </c>
      <c r="B464" s="11" t="s">
        <v>863</v>
      </c>
      <c r="C464" s="12" t="s">
        <v>553</v>
      </c>
      <c r="D464" s="12" t="s">
        <v>641</v>
      </c>
      <c r="E464" s="13">
        <v>5</v>
      </c>
      <c r="F464" s="111">
        <v>2212</v>
      </c>
      <c r="G464" s="13" t="s">
        <v>1582</v>
      </c>
      <c r="H464" s="14" t="s">
        <v>274</v>
      </c>
      <c r="I464" s="14" t="s">
        <v>1583</v>
      </c>
      <c r="J464" s="12" t="s">
        <v>972</v>
      </c>
      <c r="K464" s="15" t="s">
        <v>1584</v>
      </c>
      <c r="O464" s="11" t="s">
        <v>1585</v>
      </c>
    </row>
    <row r="465" spans="1:15" hidden="1" x14ac:dyDescent="0.25">
      <c r="A465" s="11" t="s">
        <v>0</v>
      </c>
      <c r="B465" s="11" t="s">
        <v>863</v>
      </c>
      <c r="C465" s="12" t="s">
        <v>553</v>
      </c>
      <c r="D465" s="12" t="s">
        <v>2256</v>
      </c>
      <c r="E465" s="13">
        <v>1</v>
      </c>
      <c r="F465" s="111">
        <v>2213</v>
      </c>
      <c r="G465" s="13" t="s">
        <v>2257</v>
      </c>
      <c r="H465" s="14" t="s">
        <v>274</v>
      </c>
      <c r="I465" s="14" t="s">
        <v>2258</v>
      </c>
      <c r="J465" s="12" t="s">
        <v>661</v>
      </c>
      <c r="K465" s="15" t="s">
        <v>2259</v>
      </c>
      <c r="O465" s="11" t="s">
        <v>2260</v>
      </c>
    </row>
    <row r="466" spans="1:15" hidden="1" x14ac:dyDescent="0.25">
      <c r="A466" s="11" t="s">
        <v>0</v>
      </c>
      <c r="B466" s="11" t="s">
        <v>863</v>
      </c>
      <c r="C466" s="12" t="s">
        <v>553</v>
      </c>
      <c r="D466" s="12" t="s">
        <v>2261</v>
      </c>
      <c r="E466" s="13">
        <v>1</v>
      </c>
      <c r="F466" s="111">
        <v>2213</v>
      </c>
      <c r="G466" s="13" t="s">
        <v>2262</v>
      </c>
      <c r="H466" s="14" t="s">
        <v>274</v>
      </c>
      <c r="I466" s="14" t="s">
        <v>2263</v>
      </c>
      <c r="J466" s="12" t="s">
        <v>972</v>
      </c>
      <c r="K466" s="15" t="s">
        <v>2264</v>
      </c>
      <c r="O466" s="11" t="s">
        <v>2265</v>
      </c>
    </row>
    <row r="467" spans="1:15" hidden="1" x14ac:dyDescent="0.25">
      <c r="A467" s="11" t="s">
        <v>0</v>
      </c>
      <c r="B467" s="11" t="s">
        <v>863</v>
      </c>
      <c r="C467" s="12" t="s">
        <v>553</v>
      </c>
      <c r="D467" s="12" t="s">
        <v>1108</v>
      </c>
      <c r="E467" s="13">
        <v>1</v>
      </c>
      <c r="F467" s="111">
        <v>2213</v>
      </c>
      <c r="G467" s="13" t="s">
        <v>2266</v>
      </c>
      <c r="H467" s="14" t="s">
        <v>274</v>
      </c>
      <c r="I467" s="14" t="s">
        <v>2267</v>
      </c>
      <c r="J467" s="12" t="s">
        <v>661</v>
      </c>
      <c r="K467" s="15" t="s">
        <v>2268</v>
      </c>
      <c r="O467" s="11" t="s">
        <v>2269</v>
      </c>
    </row>
    <row r="468" spans="1:15" hidden="1" x14ac:dyDescent="0.25">
      <c r="A468" s="11" t="s">
        <v>0</v>
      </c>
      <c r="B468" s="11" t="s">
        <v>863</v>
      </c>
      <c r="C468" s="12" t="s">
        <v>553</v>
      </c>
      <c r="D468" s="12" t="s">
        <v>1977</v>
      </c>
      <c r="E468" s="13">
        <v>1</v>
      </c>
      <c r="F468" s="111">
        <v>2213</v>
      </c>
      <c r="G468" s="13" t="s">
        <v>2270</v>
      </c>
      <c r="H468" s="14" t="s">
        <v>274</v>
      </c>
      <c r="I468" s="14" t="s">
        <v>2271</v>
      </c>
      <c r="J468" s="12" t="s">
        <v>972</v>
      </c>
      <c r="K468" s="15" t="s">
        <v>2272</v>
      </c>
      <c r="O468" s="11" t="s">
        <v>2273</v>
      </c>
    </row>
    <row r="469" spans="1:15" hidden="1" x14ac:dyDescent="0.25">
      <c r="A469" s="11" t="s">
        <v>0</v>
      </c>
      <c r="B469" s="11" t="s">
        <v>863</v>
      </c>
      <c r="C469" s="12" t="s">
        <v>553</v>
      </c>
      <c r="D469" s="12" t="s">
        <v>2274</v>
      </c>
      <c r="E469" s="13">
        <v>1</v>
      </c>
      <c r="F469" s="111">
        <v>2213</v>
      </c>
      <c r="G469" s="13" t="s">
        <v>2275</v>
      </c>
      <c r="H469" s="14" t="s">
        <v>274</v>
      </c>
      <c r="I469" s="14" t="s">
        <v>2276</v>
      </c>
      <c r="J469" s="12" t="s">
        <v>972</v>
      </c>
      <c r="K469" s="15" t="s">
        <v>2277</v>
      </c>
      <c r="O469" s="11" t="s">
        <v>2278</v>
      </c>
    </row>
    <row r="470" spans="1:15" hidden="1" x14ac:dyDescent="0.25">
      <c r="A470" s="11" t="s">
        <v>0</v>
      </c>
      <c r="B470" s="11" t="s">
        <v>863</v>
      </c>
      <c r="C470" s="12" t="s">
        <v>553</v>
      </c>
      <c r="D470" s="12" t="s">
        <v>2279</v>
      </c>
      <c r="E470" s="13">
        <v>1</v>
      </c>
      <c r="F470" s="111">
        <v>2213</v>
      </c>
      <c r="G470" s="13" t="s">
        <v>2280</v>
      </c>
      <c r="H470" s="14" t="s">
        <v>274</v>
      </c>
      <c r="I470" s="14" t="s">
        <v>2281</v>
      </c>
      <c r="J470" s="12" t="s">
        <v>972</v>
      </c>
      <c r="K470" s="15" t="s">
        <v>2282</v>
      </c>
      <c r="O470" s="11" t="s">
        <v>2283</v>
      </c>
    </row>
    <row r="471" spans="1:15" hidden="1" x14ac:dyDescent="0.25">
      <c r="A471" s="11" t="s">
        <v>0</v>
      </c>
      <c r="B471" s="11" t="s">
        <v>863</v>
      </c>
      <c r="C471" s="12" t="s">
        <v>553</v>
      </c>
      <c r="D471" s="12" t="s">
        <v>2284</v>
      </c>
      <c r="E471" s="13">
        <v>1</v>
      </c>
      <c r="F471" s="111">
        <v>2213</v>
      </c>
      <c r="G471" s="13" t="s">
        <v>2285</v>
      </c>
      <c r="H471" s="14" t="s">
        <v>274</v>
      </c>
      <c r="I471" s="14" t="s">
        <v>2286</v>
      </c>
      <c r="J471" s="12" t="s">
        <v>972</v>
      </c>
      <c r="K471" s="15" t="s">
        <v>2287</v>
      </c>
      <c r="O471" s="11" t="s">
        <v>2288</v>
      </c>
    </row>
    <row r="472" spans="1:15" hidden="1" x14ac:dyDescent="0.25">
      <c r="A472" s="11" t="s">
        <v>0</v>
      </c>
      <c r="B472" s="11" t="s">
        <v>863</v>
      </c>
      <c r="C472" s="12" t="s">
        <v>553</v>
      </c>
      <c r="D472" s="12" t="s">
        <v>2289</v>
      </c>
      <c r="E472" s="13">
        <v>1</v>
      </c>
      <c r="F472" s="111">
        <v>2213</v>
      </c>
      <c r="G472" s="13" t="s">
        <v>2290</v>
      </c>
      <c r="H472" s="14" t="s">
        <v>274</v>
      </c>
      <c r="I472" s="14" t="s">
        <v>2291</v>
      </c>
      <c r="J472" s="12" t="s">
        <v>972</v>
      </c>
      <c r="K472" s="15" t="s">
        <v>2292</v>
      </c>
      <c r="O472" s="11" t="s">
        <v>2293</v>
      </c>
    </row>
    <row r="473" spans="1:15" hidden="1" x14ac:dyDescent="0.25">
      <c r="A473" s="11" t="s">
        <v>0</v>
      </c>
      <c r="B473" s="11" t="s">
        <v>863</v>
      </c>
      <c r="C473" s="12" t="s">
        <v>553</v>
      </c>
      <c r="D473" s="12" t="s">
        <v>2294</v>
      </c>
      <c r="E473" s="13">
        <v>1</v>
      </c>
      <c r="F473" s="111">
        <v>2213</v>
      </c>
      <c r="G473" s="13" t="s">
        <v>2299</v>
      </c>
      <c r="H473" s="14" t="s">
        <v>274</v>
      </c>
      <c r="I473" s="14" t="s">
        <v>2300</v>
      </c>
      <c r="J473" s="12" t="s">
        <v>972</v>
      </c>
      <c r="K473" s="15" t="s">
        <v>2301</v>
      </c>
      <c r="O473" s="11" t="s">
        <v>2298</v>
      </c>
    </row>
    <row r="474" spans="1:15" hidden="1" x14ac:dyDescent="0.25">
      <c r="A474" s="11" t="s">
        <v>0</v>
      </c>
      <c r="B474" s="11" t="s">
        <v>863</v>
      </c>
      <c r="C474" s="12" t="s">
        <v>553</v>
      </c>
      <c r="D474" s="12" t="s">
        <v>2302</v>
      </c>
      <c r="E474" s="13">
        <v>1</v>
      </c>
      <c r="F474" s="111">
        <v>2213</v>
      </c>
      <c r="G474" s="13" t="s">
        <v>2303</v>
      </c>
      <c r="H474" s="14" t="s">
        <v>274</v>
      </c>
      <c r="I474" s="14" t="s">
        <v>2304</v>
      </c>
      <c r="J474" s="12" t="s">
        <v>972</v>
      </c>
      <c r="K474" s="15" t="s">
        <v>2305</v>
      </c>
      <c r="O474" s="11" t="s">
        <v>2306</v>
      </c>
    </row>
    <row r="475" spans="1:15" hidden="1" x14ac:dyDescent="0.25">
      <c r="A475" s="11" t="s">
        <v>0</v>
      </c>
      <c r="B475" s="11" t="s">
        <v>863</v>
      </c>
      <c r="C475" s="12" t="s">
        <v>553</v>
      </c>
      <c r="D475" s="12" t="s">
        <v>2307</v>
      </c>
      <c r="E475" s="13">
        <v>1</v>
      </c>
      <c r="F475" s="111">
        <v>2213</v>
      </c>
      <c r="G475" s="13" t="s">
        <v>2308</v>
      </c>
      <c r="H475" s="14" t="s">
        <v>274</v>
      </c>
      <c r="I475" s="14" t="s">
        <v>2309</v>
      </c>
      <c r="J475" s="12" t="s">
        <v>972</v>
      </c>
      <c r="K475" s="15" t="s">
        <v>2310</v>
      </c>
      <c r="O475" s="11" t="s">
        <v>2311</v>
      </c>
    </row>
    <row r="476" spans="1:15" hidden="1" x14ac:dyDescent="0.25">
      <c r="A476" s="11" t="s">
        <v>0</v>
      </c>
      <c r="B476" s="11" t="s">
        <v>863</v>
      </c>
      <c r="C476" s="12" t="s">
        <v>553</v>
      </c>
      <c r="D476" s="12" t="s">
        <v>2312</v>
      </c>
      <c r="E476" s="13">
        <v>1</v>
      </c>
      <c r="F476" s="111">
        <v>2213</v>
      </c>
      <c r="G476" s="13" t="s">
        <v>2313</v>
      </c>
      <c r="H476" s="14" t="s">
        <v>274</v>
      </c>
      <c r="I476" s="14" t="s">
        <v>2314</v>
      </c>
      <c r="J476" s="12" t="s">
        <v>972</v>
      </c>
      <c r="K476" s="15" t="s">
        <v>2315</v>
      </c>
      <c r="O476" s="11" t="s">
        <v>2316</v>
      </c>
    </row>
    <row r="477" spans="1:15" hidden="1" x14ac:dyDescent="0.25">
      <c r="A477" s="11" t="s">
        <v>0</v>
      </c>
      <c r="B477" s="11" t="s">
        <v>863</v>
      </c>
      <c r="C477" s="12" t="s">
        <v>553</v>
      </c>
      <c r="D477" s="12" t="s">
        <v>2317</v>
      </c>
      <c r="E477" s="13">
        <v>1</v>
      </c>
      <c r="F477" s="111">
        <v>2213</v>
      </c>
      <c r="G477" s="13" t="s">
        <v>2318</v>
      </c>
      <c r="H477" s="14" t="s">
        <v>274</v>
      </c>
      <c r="I477" s="14" t="s">
        <v>2319</v>
      </c>
      <c r="J477" s="12" t="s">
        <v>972</v>
      </c>
      <c r="K477" s="15" t="s">
        <v>2320</v>
      </c>
      <c r="O477" s="11" t="s">
        <v>2321</v>
      </c>
    </row>
    <row r="478" spans="1:15" hidden="1" x14ac:dyDescent="0.25">
      <c r="A478" s="11" t="s">
        <v>0</v>
      </c>
      <c r="B478" s="11" t="s">
        <v>863</v>
      </c>
      <c r="C478" s="12" t="s">
        <v>553</v>
      </c>
      <c r="D478" s="12" t="s">
        <v>2322</v>
      </c>
      <c r="E478" s="13">
        <v>1</v>
      </c>
      <c r="F478" s="111">
        <v>2213</v>
      </c>
      <c r="G478" s="13" t="s">
        <v>2323</v>
      </c>
      <c r="H478" s="14" t="s">
        <v>274</v>
      </c>
      <c r="I478" s="14" t="s">
        <v>2324</v>
      </c>
      <c r="J478" s="12" t="s">
        <v>972</v>
      </c>
      <c r="K478" s="15" t="s">
        <v>2325</v>
      </c>
      <c r="O478" s="11" t="s">
        <v>2326</v>
      </c>
    </row>
    <row r="479" spans="1:15" hidden="1" x14ac:dyDescent="0.25">
      <c r="A479" s="11" t="s">
        <v>0</v>
      </c>
      <c r="B479" s="11" t="s">
        <v>863</v>
      </c>
      <c r="C479" s="12" t="s">
        <v>553</v>
      </c>
      <c r="D479" s="12" t="s">
        <v>621</v>
      </c>
      <c r="E479" s="13">
        <v>1</v>
      </c>
      <c r="F479" s="111">
        <v>2213</v>
      </c>
      <c r="G479" s="13" t="s">
        <v>2327</v>
      </c>
      <c r="H479" s="14" t="s">
        <v>274</v>
      </c>
      <c r="I479" s="14" t="s">
        <v>2328</v>
      </c>
      <c r="J479" s="12" t="s">
        <v>972</v>
      </c>
      <c r="K479" s="15" t="s">
        <v>2329</v>
      </c>
      <c r="O479" s="11" t="s">
        <v>2330</v>
      </c>
    </row>
    <row r="480" spans="1:15" hidden="1" x14ac:dyDescent="0.25">
      <c r="A480" s="11" t="s">
        <v>0</v>
      </c>
      <c r="B480" s="11" t="s">
        <v>863</v>
      </c>
      <c r="C480" s="12" t="s">
        <v>553</v>
      </c>
      <c r="D480" s="12" t="s">
        <v>2294</v>
      </c>
      <c r="E480" s="13">
        <v>2</v>
      </c>
      <c r="F480" s="111">
        <v>2213</v>
      </c>
      <c r="G480" s="13" t="s">
        <v>2295</v>
      </c>
      <c r="H480" s="14" t="s">
        <v>274</v>
      </c>
      <c r="I480" s="14" t="s">
        <v>2296</v>
      </c>
      <c r="J480" s="12" t="s">
        <v>972</v>
      </c>
      <c r="K480" s="15" t="s">
        <v>2297</v>
      </c>
      <c r="O480" s="11" t="s">
        <v>2298</v>
      </c>
    </row>
    <row r="481" spans="1:15" hidden="1" x14ac:dyDescent="0.25">
      <c r="A481" s="11" t="s">
        <v>134</v>
      </c>
      <c r="D481" s="12" t="s">
        <v>173</v>
      </c>
      <c r="G481" s="13" t="s">
        <v>271</v>
      </c>
      <c r="H481" s="14" t="s">
        <v>175</v>
      </c>
      <c r="I481" s="14" t="s">
        <v>272</v>
      </c>
      <c r="K481" s="15" t="s">
        <v>273</v>
      </c>
      <c r="O481" s="11" t="s">
        <v>3263</v>
      </c>
    </row>
    <row r="482" spans="1:15" hidden="1" x14ac:dyDescent="0.25">
      <c r="A482" s="11" t="s">
        <v>2</v>
      </c>
      <c r="D482" s="12" t="s">
        <v>275</v>
      </c>
      <c r="G482" s="13" t="s">
        <v>276</v>
      </c>
      <c r="H482" s="14" t="s">
        <v>277</v>
      </c>
      <c r="I482" s="14" t="s">
        <v>278</v>
      </c>
      <c r="K482" s="15" t="s">
        <v>279</v>
      </c>
      <c r="O482" s="11" t="s">
        <v>3263</v>
      </c>
    </row>
    <row r="483" spans="1:15" hidden="1" x14ac:dyDescent="0.25">
      <c r="A483" s="11" t="s">
        <v>21</v>
      </c>
      <c r="B483" s="11" t="s">
        <v>863</v>
      </c>
      <c r="C483" s="12" t="s">
        <v>1522</v>
      </c>
      <c r="D483" s="12" t="s">
        <v>1532</v>
      </c>
      <c r="E483" s="13">
        <v>1</v>
      </c>
      <c r="F483" s="111">
        <v>2311</v>
      </c>
      <c r="G483" s="13" t="s">
        <v>1533</v>
      </c>
      <c r="H483" s="14" t="s">
        <v>274</v>
      </c>
      <c r="I483" s="14" t="s">
        <v>1534</v>
      </c>
      <c r="J483" s="12" t="s">
        <v>972</v>
      </c>
      <c r="K483" s="15" t="s">
        <v>1535</v>
      </c>
      <c r="O483" s="11" t="s">
        <v>1536</v>
      </c>
    </row>
    <row r="484" spans="1:15" hidden="1" x14ac:dyDescent="0.25">
      <c r="A484" s="11" t="s">
        <v>21</v>
      </c>
      <c r="B484" s="11" t="s">
        <v>863</v>
      </c>
      <c r="C484" s="12" t="s">
        <v>1522</v>
      </c>
      <c r="D484" s="12" t="s">
        <v>1537</v>
      </c>
      <c r="E484" s="13">
        <v>1</v>
      </c>
      <c r="F484" s="111">
        <v>2311</v>
      </c>
      <c r="G484" s="13" t="s">
        <v>1538</v>
      </c>
      <c r="H484" s="14" t="s">
        <v>274</v>
      </c>
      <c r="I484" s="14" t="s">
        <v>1539</v>
      </c>
      <c r="J484" s="12" t="s">
        <v>972</v>
      </c>
      <c r="K484" s="15" t="s">
        <v>1540</v>
      </c>
      <c r="O484" s="11" t="s">
        <v>1541</v>
      </c>
    </row>
    <row r="485" spans="1:15" hidden="1" x14ac:dyDescent="0.25">
      <c r="A485" s="11" t="s">
        <v>21</v>
      </c>
      <c r="B485" s="11" t="s">
        <v>863</v>
      </c>
      <c r="C485" s="12" t="s">
        <v>1522</v>
      </c>
      <c r="D485" s="12" t="s">
        <v>1542</v>
      </c>
      <c r="E485" s="13">
        <v>1</v>
      </c>
      <c r="F485" s="111">
        <v>2311</v>
      </c>
      <c r="G485" s="13" t="s">
        <v>1543</v>
      </c>
      <c r="H485" s="14" t="s">
        <v>274</v>
      </c>
      <c r="I485" s="14" t="s">
        <v>1544</v>
      </c>
      <c r="J485" s="12" t="s">
        <v>972</v>
      </c>
      <c r="K485" s="15" t="s">
        <v>1545</v>
      </c>
      <c r="O485" s="11" t="s">
        <v>1546</v>
      </c>
    </row>
    <row r="486" spans="1:15" hidden="1" x14ac:dyDescent="0.25">
      <c r="A486" s="11" t="s">
        <v>134</v>
      </c>
      <c r="B486" s="11" t="s">
        <v>134</v>
      </c>
      <c r="C486" s="12" t="s">
        <v>134</v>
      </c>
      <c r="D486" s="12" t="s">
        <v>2</v>
      </c>
      <c r="E486" s="13" t="s">
        <v>2</v>
      </c>
      <c r="F486" s="111" t="s">
        <v>2</v>
      </c>
      <c r="G486" s="13" t="s">
        <v>2</v>
      </c>
      <c r="H486" s="14" t="s">
        <v>2</v>
      </c>
      <c r="I486" s="14" t="s">
        <v>21</v>
      </c>
      <c r="J486" s="12" t="s">
        <v>21</v>
      </c>
      <c r="K486" s="15" t="s">
        <v>21</v>
      </c>
      <c r="L486" s="16" t="s">
        <v>21</v>
      </c>
      <c r="M486" s="16" t="s">
        <v>23</v>
      </c>
      <c r="N486" s="58" t="s">
        <v>21</v>
      </c>
      <c r="O486" s="11" t="s">
        <v>23</v>
      </c>
    </row>
    <row r="487" spans="1:15" hidden="1" x14ac:dyDescent="0.25">
      <c r="A487" s="11" t="s">
        <v>21</v>
      </c>
      <c r="B487" s="11" t="s">
        <v>863</v>
      </c>
      <c r="C487" s="12" t="s">
        <v>1522</v>
      </c>
      <c r="D487" s="12" t="s">
        <v>2144</v>
      </c>
      <c r="E487" s="13">
        <v>1</v>
      </c>
      <c r="F487" s="111">
        <v>2311</v>
      </c>
      <c r="G487" s="13" t="s">
        <v>2145</v>
      </c>
      <c r="H487" s="14" t="s">
        <v>274</v>
      </c>
      <c r="I487" s="14" t="s">
        <v>2146</v>
      </c>
      <c r="J487" s="12" t="s">
        <v>661</v>
      </c>
      <c r="K487" s="15" t="s">
        <v>2147</v>
      </c>
      <c r="O487" s="11" t="s">
        <v>2148</v>
      </c>
    </row>
    <row r="488" spans="1:15" hidden="1" x14ac:dyDescent="0.25">
      <c r="A488" s="11" t="s">
        <v>21</v>
      </c>
      <c r="B488" s="11" t="s">
        <v>863</v>
      </c>
      <c r="C488" s="12" t="s">
        <v>1522</v>
      </c>
      <c r="D488" s="12" t="s">
        <v>2168</v>
      </c>
      <c r="E488" s="13">
        <v>1</v>
      </c>
      <c r="F488" s="111">
        <v>2311</v>
      </c>
      <c r="G488" s="13" t="s">
        <v>2169</v>
      </c>
      <c r="H488" s="14" t="s">
        <v>274</v>
      </c>
      <c r="I488" s="14" t="s">
        <v>2170</v>
      </c>
      <c r="J488" s="12" t="s">
        <v>972</v>
      </c>
      <c r="K488" s="15" t="s">
        <v>2171</v>
      </c>
      <c r="O488" s="11" t="s">
        <v>2172</v>
      </c>
    </row>
    <row r="489" spans="1:15" hidden="1" x14ac:dyDescent="0.25">
      <c r="A489" s="11" t="s">
        <v>21</v>
      </c>
      <c r="B489" s="11" t="s">
        <v>863</v>
      </c>
      <c r="C489" s="12" t="s">
        <v>1522</v>
      </c>
      <c r="D489" s="12" t="s">
        <v>2173</v>
      </c>
      <c r="E489" s="13">
        <v>1</v>
      </c>
      <c r="F489" s="111">
        <v>2311</v>
      </c>
      <c r="G489" s="13" t="s">
        <v>2174</v>
      </c>
      <c r="H489" s="14" t="s">
        <v>274</v>
      </c>
      <c r="I489" s="14" t="s">
        <v>2175</v>
      </c>
      <c r="J489" s="12" t="s">
        <v>972</v>
      </c>
      <c r="K489" s="15" t="s">
        <v>2176</v>
      </c>
      <c r="O489" s="11" t="s">
        <v>2177</v>
      </c>
    </row>
    <row r="490" spans="1:15" hidden="1" x14ac:dyDescent="0.25">
      <c r="A490" s="11" t="s">
        <v>21</v>
      </c>
      <c r="B490" s="11" t="s">
        <v>863</v>
      </c>
      <c r="C490" s="12" t="s">
        <v>1522</v>
      </c>
      <c r="D490" s="12" t="s">
        <v>2178</v>
      </c>
      <c r="E490" s="13">
        <v>1</v>
      </c>
      <c r="F490" s="111">
        <v>2311</v>
      </c>
      <c r="G490" s="13" t="s">
        <v>2179</v>
      </c>
      <c r="H490" s="14" t="s">
        <v>274</v>
      </c>
      <c r="I490" s="14" t="s">
        <v>2180</v>
      </c>
      <c r="J490" s="12" t="s">
        <v>972</v>
      </c>
      <c r="K490" s="15" t="s">
        <v>2181</v>
      </c>
      <c r="O490" s="11" t="s">
        <v>2182</v>
      </c>
    </row>
    <row r="491" spans="1:15" hidden="1" x14ac:dyDescent="0.25">
      <c r="A491" s="11" t="s">
        <v>21</v>
      </c>
      <c r="B491" s="11" t="s">
        <v>863</v>
      </c>
      <c r="C491" s="12" t="s">
        <v>1522</v>
      </c>
      <c r="D491" s="12" t="s">
        <v>2183</v>
      </c>
      <c r="E491" s="13">
        <v>1</v>
      </c>
      <c r="F491" s="111">
        <v>2311</v>
      </c>
      <c r="G491" s="13" t="s">
        <v>2184</v>
      </c>
      <c r="H491" s="14" t="s">
        <v>274</v>
      </c>
      <c r="I491" s="14" t="s">
        <v>2185</v>
      </c>
      <c r="J491" s="12" t="s">
        <v>972</v>
      </c>
      <c r="K491" s="15" t="s">
        <v>2186</v>
      </c>
      <c r="O491" s="11" t="s">
        <v>2187</v>
      </c>
    </row>
    <row r="492" spans="1:15" hidden="1" x14ac:dyDescent="0.25">
      <c r="A492" s="11" t="s">
        <v>21</v>
      </c>
      <c r="B492" s="11" t="s">
        <v>863</v>
      </c>
      <c r="C492" s="12" t="s">
        <v>1522</v>
      </c>
      <c r="D492" s="12" t="s">
        <v>2191</v>
      </c>
      <c r="E492" s="13">
        <v>1</v>
      </c>
      <c r="F492" s="111">
        <v>2311</v>
      </c>
      <c r="G492" s="13" t="s">
        <v>2192</v>
      </c>
      <c r="H492" s="14" t="s">
        <v>274</v>
      </c>
      <c r="I492" s="14" t="s">
        <v>2193</v>
      </c>
      <c r="J492" s="12" t="s">
        <v>972</v>
      </c>
      <c r="K492" s="15" t="s">
        <v>2194</v>
      </c>
      <c r="O492" s="11" t="s">
        <v>2195</v>
      </c>
    </row>
    <row r="493" spans="1:15" hidden="1" x14ac:dyDescent="0.25">
      <c r="A493" s="11" t="s">
        <v>21</v>
      </c>
      <c r="B493" s="11" t="s">
        <v>863</v>
      </c>
      <c r="C493" s="12" t="s">
        <v>1522</v>
      </c>
      <c r="D493" s="12" t="s">
        <v>2196</v>
      </c>
      <c r="E493" s="13">
        <v>1</v>
      </c>
      <c r="F493" s="111">
        <v>2311</v>
      </c>
      <c r="G493" s="13" t="s">
        <v>2197</v>
      </c>
      <c r="H493" s="14" t="s">
        <v>274</v>
      </c>
      <c r="I493" s="14" t="s">
        <v>2198</v>
      </c>
      <c r="J493" s="12" t="s">
        <v>972</v>
      </c>
      <c r="K493" s="15" t="s">
        <v>2199</v>
      </c>
      <c r="O493" s="11" t="s">
        <v>2200</v>
      </c>
    </row>
    <row r="494" spans="1:15" hidden="1" x14ac:dyDescent="0.25">
      <c r="A494" s="11" t="s">
        <v>21</v>
      </c>
      <c r="B494" s="11" t="s">
        <v>863</v>
      </c>
      <c r="C494" s="12" t="s">
        <v>1522</v>
      </c>
      <c r="D494" s="12" t="s">
        <v>2201</v>
      </c>
      <c r="E494" s="13">
        <v>1</v>
      </c>
      <c r="F494" s="111">
        <v>2311</v>
      </c>
      <c r="G494" s="13" t="s">
        <v>2202</v>
      </c>
      <c r="H494" s="14" t="s">
        <v>274</v>
      </c>
      <c r="I494" s="14" t="s">
        <v>2203</v>
      </c>
      <c r="J494" s="12" t="s">
        <v>972</v>
      </c>
      <c r="K494" s="15" t="s">
        <v>2204</v>
      </c>
      <c r="O494" s="11" t="s">
        <v>2205</v>
      </c>
    </row>
    <row r="495" spans="1:15" hidden="1" x14ac:dyDescent="0.25">
      <c r="A495" s="11" t="s">
        <v>21</v>
      </c>
      <c r="B495" s="11" t="s">
        <v>863</v>
      </c>
      <c r="C495" s="12" t="s">
        <v>1522</v>
      </c>
      <c r="D495" s="12" t="s">
        <v>2144</v>
      </c>
      <c r="E495" s="13">
        <v>2</v>
      </c>
      <c r="F495" s="111">
        <v>2311</v>
      </c>
      <c r="G495" s="13" t="s">
        <v>2165</v>
      </c>
      <c r="H495" s="14" t="s">
        <v>274</v>
      </c>
      <c r="I495" s="14" t="s">
        <v>2166</v>
      </c>
      <c r="J495" s="12" t="s">
        <v>972</v>
      </c>
      <c r="K495" s="15" t="s">
        <v>2167</v>
      </c>
      <c r="O495" s="11" t="s">
        <v>2148</v>
      </c>
    </row>
    <row r="496" spans="1:15" hidden="1" x14ac:dyDescent="0.25">
      <c r="A496" s="11" t="s">
        <v>23</v>
      </c>
      <c r="B496" s="11" t="s">
        <v>863</v>
      </c>
      <c r="C496" s="12" t="s">
        <v>1522</v>
      </c>
      <c r="D496" s="12" t="s">
        <v>1547</v>
      </c>
      <c r="E496" s="13">
        <v>1</v>
      </c>
      <c r="F496" s="111">
        <v>2312</v>
      </c>
      <c r="G496" s="13" t="s">
        <v>1555</v>
      </c>
      <c r="H496" s="14" t="s">
        <v>274</v>
      </c>
      <c r="I496" s="14" t="s">
        <v>1556</v>
      </c>
      <c r="J496" s="12" t="s">
        <v>972</v>
      </c>
      <c r="K496" s="15" t="s">
        <v>1557</v>
      </c>
      <c r="O496" s="11" t="s">
        <v>1551</v>
      </c>
    </row>
    <row r="497" spans="1:15" hidden="1" x14ac:dyDescent="0.25">
      <c r="A497" s="11" t="s">
        <v>21</v>
      </c>
      <c r="B497" s="11" t="s">
        <v>863</v>
      </c>
      <c r="C497" s="12" t="s">
        <v>1522</v>
      </c>
      <c r="D497" s="12" t="s">
        <v>641</v>
      </c>
      <c r="E497" s="13">
        <v>1</v>
      </c>
      <c r="F497" s="111">
        <v>2312</v>
      </c>
      <c r="G497" s="13" t="s">
        <v>1565</v>
      </c>
      <c r="H497" s="14" t="s">
        <v>274</v>
      </c>
      <c r="I497" s="14" t="s">
        <v>1566</v>
      </c>
      <c r="J497" s="12" t="s">
        <v>972</v>
      </c>
      <c r="K497" s="15" t="s">
        <v>1567</v>
      </c>
      <c r="O497" s="11" t="s">
        <v>1561</v>
      </c>
    </row>
    <row r="498" spans="1:15" hidden="1" x14ac:dyDescent="0.25">
      <c r="A498" s="11" t="s">
        <v>23</v>
      </c>
      <c r="B498" s="11" t="s">
        <v>863</v>
      </c>
      <c r="C498" s="12" t="s">
        <v>1522</v>
      </c>
      <c r="D498" s="12" t="s">
        <v>1547</v>
      </c>
      <c r="E498" s="13">
        <v>2</v>
      </c>
      <c r="F498" s="111">
        <v>2312</v>
      </c>
      <c r="G498" s="13" t="s">
        <v>1552</v>
      </c>
      <c r="H498" s="14" t="s">
        <v>274</v>
      </c>
      <c r="I498" s="14" t="s">
        <v>1553</v>
      </c>
      <c r="J498" s="12" t="s">
        <v>972</v>
      </c>
      <c r="K498" s="15" t="s">
        <v>1554</v>
      </c>
      <c r="O498" s="11" t="s">
        <v>1551</v>
      </c>
    </row>
    <row r="499" spans="1:15" hidden="1" x14ac:dyDescent="0.25">
      <c r="A499" s="11" t="s">
        <v>21</v>
      </c>
      <c r="B499" s="11" t="s">
        <v>863</v>
      </c>
      <c r="C499" s="12" t="s">
        <v>1522</v>
      </c>
      <c r="D499" s="12" t="s">
        <v>641</v>
      </c>
      <c r="E499" s="13">
        <v>2</v>
      </c>
      <c r="F499" s="111">
        <v>2312</v>
      </c>
      <c r="G499" s="13" t="s">
        <v>1562</v>
      </c>
      <c r="H499" s="14" t="s">
        <v>274</v>
      </c>
      <c r="I499" s="14" t="s">
        <v>1563</v>
      </c>
      <c r="J499" s="12" t="s">
        <v>972</v>
      </c>
      <c r="K499" s="15" t="s">
        <v>1564</v>
      </c>
      <c r="O499" s="11" t="s">
        <v>1561</v>
      </c>
    </row>
    <row r="500" spans="1:15" hidden="1" x14ac:dyDescent="0.25">
      <c r="A500" s="11" t="s">
        <v>23</v>
      </c>
      <c r="B500" s="11" t="s">
        <v>863</v>
      </c>
      <c r="C500" s="12" t="s">
        <v>1522</v>
      </c>
      <c r="D500" s="12" t="s">
        <v>1547</v>
      </c>
      <c r="E500" s="13">
        <v>3</v>
      </c>
      <c r="F500" s="111">
        <v>2312</v>
      </c>
      <c r="G500" s="13" t="s">
        <v>1548</v>
      </c>
      <c r="H500" s="14" t="s">
        <v>274</v>
      </c>
      <c r="I500" s="14" t="s">
        <v>1549</v>
      </c>
      <c r="J500" s="12" t="s">
        <v>972</v>
      </c>
      <c r="K500" s="15" t="s">
        <v>1550</v>
      </c>
      <c r="O500" s="11" t="s">
        <v>1551</v>
      </c>
    </row>
    <row r="501" spans="1:15" hidden="1" x14ac:dyDescent="0.25">
      <c r="A501" s="11" t="s">
        <v>21</v>
      </c>
      <c r="B501" s="11" t="s">
        <v>863</v>
      </c>
      <c r="C501" s="12" t="s">
        <v>1522</v>
      </c>
      <c r="D501" s="12" t="s">
        <v>641</v>
      </c>
      <c r="E501" s="13">
        <v>3</v>
      </c>
      <c r="F501" s="111">
        <v>2312</v>
      </c>
      <c r="G501" s="13" t="s">
        <v>1558</v>
      </c>
      <c r="H501" s="14" t="s">
        <v>274</v>
      </c>
      <c r="I501" s="14" t="s">
        <v>1559</v>
      </c>
      <c r="J501" s="12" t="s">
        <v>972</v>
      </c>
      <c r="K501" s="15" t="s">
        <v>1560</v>
      </c>
      <c r="O501" s="11" t="s">
        <v>1561</v>
      </c>
    </row>
    <row r="502" spans="1:15" hidden="1" x14ac:dyDescent="0.25">
      <c r="A502" s="11" t="s">
        <v>21</v>
      </c>
      <c r="B502" s="11" t="s">
        <v>863</v>
      </c>
      <c r="C502" s="12" t="s">
        <v>1522</v>
      </c>
      <c r="D502" s="12" t="s">
        <v>1523</v>
      </c>
      <c r="E502" s="13">
        <v>1</v>
      </c>
      <c r="F502" s="111">
        <v>2313</v>
      </c>
      <c r="G502" s="13" t="s">
        <v>1524</v>
      </c>
      <c r="H502" s="14" t="s">
        <v>274</v>
      </c>
      <c r="I502" s="14" t="s">
        <v>1525</v>
      </c>
      <c r="J502" s="12" t="s">
        <v>661</v>
      </c>
      <c r="K502" s="15" t="s">
        <v>1526</v>
      </c>
      <c r="O502" s="11" t="s">
        <v>1527</v>
      </c>
    </row>
    <row r="503" spans="1:15" hidden="1" x14ac:dyDescent="0.25">
      <c r="A503" s="11" t="s">
        <v>21</v>
      </c>
      <c r="B503" s="11" t="s">
        <v>863</v>
      </c>
      <c r="C503" s="12" t="s">
        <v>1522</v>
      </c>
      <c r="D503" s="12" t="s">
        <v>1108</v>
      </c>
      <c r="E503" s="13">
        <v>1</v>
      </c>
      <c r="F503" s="111">
        <v>2313</v>
      </c>
      <c r="G503" s="13" t="s">
        <v>1528</v>
      </c>
      <c r="H503" s="14" t="s">
        <v>274</v>
      </c>
      <c r="I503" s="14" t="s">
        <v>1529</v>
      </c>
      <c r="J503" s="12" t="s">
        <v>661</v>
      </c>
      <c r="K503" s="15" t="s">
        <v>1530</v>
      </c>
      <c r="O503" s="11" t="s">
        <v>1531</v>
      </c>
    </row>
    <row r="504" spans="1:15" hidden="1" x14ac:dyDescent="0.25">
      <c r="A504" s="11" t="s">
        <v>21</v>
      </c>
      <c r="B504" s="11" t="s">
        <v>863</v>
      </c>
      <c r="C504" s="12" t="s">
        <v>1522</v>
      </c>
      <c r="D504" s="12" t="s">
        <v>1956</v>
      </c>
      <c r="E504" s="13">
        <v>1</v>
      </c>
      <c r="F504" s="111">
        <v>2313</v>
      </c>
      <c r="G504" s="13" t="s">
        <v>1957</v>
      </c>
      <c r="H504" s="14" t="s">
        <v>274</v>
      </c>
      <c r="I504" s="14" t="s">
        <v>1958</v>
      </c>
      <c r="J504" s="12" t="s">
        <v>972</v>
      </c>
      <c r="K504" s="15" t="s">
        <v>1959</v>
      </c>
      <c r="O504" s="11" t="s">
        <v>1960</v>
      </c>
    </row>
    <row r="505" spans="1:15" hidden="1" x14ac:dyDescent="0.25">
      <c r="A505" s="11" t="s">
        <v>21</v>
      </c>
      <c r="B505" s="11" t="s">
        <v>863</v>
      </c>
      <c r="C505" s="12" t="s">
        <v>1522</v>
      </c>
      <c r="D505" s="12" t="s">
        <v>1961</v>
      </c>
      <c r="E505" s="13">
        <v>1</v>
      </c>
      <c r="F505" s="111">
        <v>2313</v>
      </c>
      <c r="G505" s="13" t="s">
        <v>1962</v>
      </c>
      <c r="H505" s="14" t="s">
        <v>274</v>
      </c>
      <c r="I505" s="14" t="s">
        <v>1963</v>
      </c>
      <c r="J505" s="12" t="s">
        <v>972</v>
      </c>
      <c r="K505" s="15" t="s">
        <v>1964</v>
      </c>
      <c r="O505" s="11" t="s">
        <v>1965</v>
      </c>
    </row>
    <row r="506" spans="1:15" hidden="1" x14ac:dyDescent="0.25">
      <c r="A506" s="11" t="s">
        <v>21</v>
      </c>
      <c r="B506" s="11" t="s">
        <v>863</v>
      </c>
      <c r="C506" s="12" t="s">
        <v>1522</v>
      </c>
      <c r="D506" s="12" t="s">
        <v>1966</v>
      </c>
      <c r="E506" s="13">
        <v>1</v>
      </c>
      <c r="F506" s="111">
        <v>2313</v>
      </c>
      <c r="G506" s="13" t="s">
        <v>1967</v>
      </c>
      <c r="H506" s="14" t="s">
        <v>274</v>
      </c>
      <c r="I506" s="14" t="s">
        <v>1968</v>
      </c>
      <c r="J506" s="12" t="s">
        <v>972</v>
      </c>
      <c r="K506" s="15" t="s">
        <v>1969</v>
      </c>
      <c r="O506" s="11" t="s">
        <v>1970</v>
      </c>
    </row>
    <row r="507" spans="1:15" hidden="1" x14ac:dyDescent="0.25">
      <c r="A507" s="11" t="s">
        <v>21</v>
      </c>
      <c r="B507" s="11" t="s">
        <v>863</v>
      </c>
      <c r="C507" s="12" t="s">
        <v>1522</v>
      </c>
      <c r="D507" s="12" t="s">
        <v>1972</v>
      </c>
      <c r="E507" s="13">
        <v>1</v>
      </c>
      <c r="F507" s="111">
        <v>2313</v>
      </c>
      <c r="G507" s="13" t="s">
        <v>1973</v>
      </c>
      <c r="H507" s="14" t="s">
        <v>274</v>
      </c>
      <c r="I507" s="14" t="s">
        <v>1974</v>
      </c>
      <c r="J507" s="12" t="s">
        <v>972</v>
      </c>
      <c r="K507" s="15" t="s">
        <v>1975</v>
      </c>
      <c r="O507" s="11" t="s">
        <v>1976</v>
      </c>
    </row>
    <row r="508" spans="1:15" hidden="1" x14ac:dyDescent="0.25">
      <c r="A508" s="11" t="s">
        <v>21</v>
      </c>
      <c r="B508" s="11" t="s">
        <v>863</v>
      </c>
      <c r="C508" s="12" t="s">
        <v>1522</v>
      </c>
      <c r="D508" s="12" t="s">
        <v>1977</v>
      </c>
      <c r="E508" s="13">
        <v>1</v>
      </c>
      <c r="F508" s="111">
        <v>2313</v>
      </c>
      <c r="G508" s="13" t="s">
        <v>1978</v>
      </c>
      <c r="H508" s="14" t="s">
        <v>274</v>
      </c>
      <c r="I508" s="14" t="s">
        <v>1979</v>
      </c>
      <c r="J508" s="12" t="s">
        <v>972</v>
      </c>
      <c r="K508" s="15" t="s">
        <v>1980</v>
      </c>
      <c r="O508" s="11" t="s">
        <v>1981</v>
      </c>
    </row>
    <row r="509" spans="1:15" hidden="1" x14ac:dyDescent="0.25">
      <c r="A509" s="11" t="s">
        <v>21</v>
      </c>
      <c r="B509" s="11" t="s">
        <v>863</v>
      </c>
      <c r="C509" s="12" t="s">
        <v>1522</v>
      </c>
      <c r="D509" s="12" t="s">
        <v>1982</v>
      </c>
      <c r="E509" s="13">
        <v>1</v>
      </c>
      <c r="F509" s="111">
        <v>2313</v>
      </c>
      <c r="G509" s="13" t="s">
        <v>1983</v>
      </c>
      <c r="H509" s="14" t="s">
        <v>274</v>
      </c>
      <c r="I509" s="14" t="s">
        <v>1984</v>
      </c>
      <c r="J509" s="12" t="s">
        <v>972</v>
      </c>
      <c r="K509" s="15" t="s">
        <v>1985</v>
      </c>
      <c r="O509" s="11" t="s">
        <v>1986</v>
      </c>
    </row>
    <row r="510" spans="1:15" hidden="1" x14ac:dyDescent="0.25">
      <c r="A510" s="11" t="s">
        <v>21</v>
      </c>
      <c r="B510" s="11" t="s">
        <v>863</v>
      </c>
      <c r="C510" s="12" t="s">
        <v>1522</v>
      </c>
      <c r="D510" s="12" t="s">
        <v>1987</v>
      </c>
      <c r="E510" s="13">
        <v>1</v>
      </c>
      <c r="F510" s="111">
        <v>2313</v>
      </c>
      <c r="G510" s="13" t="s">
        <v>1988</v>
      </c>
      <c r="H510" s="14" t="s">
        <v>274</v>
      </c>
      <c r="I510" s="14" t="s">
        <v>1989</v>
      </c>
      <c r="J510" s="12" t="s">
        <v>972</v>
      </c>
      <c r="K510" s="15" t="s">
        <v>1990</v>
      </c>
      <c r="O510" s="11" t="s">
        <v>1991</v>
      </c>
    </row>
    <row r="511" spans="1:15" hidden="1" x14ac:dyDescent="0.25">
      <c r="A511" s="11" t="s">
        <v>21</v>
      </c>
      <c r="B511" s="11" t="s">
        <v>863</v>
      </c>
      <c r="C511" s="12" t="s">
        <v>1522</v>
      </c>
      <c r="D511" s="12" t="s">
        <v>1992</v>
      </c>
      <c r="E511" s="13">
        <v>1</v>
      </c>
      <c r="F511" s="111">
        <v>2313</v>
      </c>
      <c r="G511" s="13" t="s">
        <v>1993</v>
      </c>
      <c r="H511" s="14" t="s">
        <v>274</v>
      </c>
      <c r="I511" s="14" t="s">
        <v>1994</v>
      </c>
      <c r="J511" s="12" t="s">
        <v>972</v>
      </c>
      <c r="K511" s="15" t="s">
        <v>1995</v>
      </c>
      <c r="O511" s="11" t="s">
        <v>1996</v>
      </c>
    </row>
    <row r="512" spans="1:15" hidden="1" x14ac:dyDescent="0.25">
      <c r="A512" s="11" t="s">
        <v>21</v>
      </c>
      <c r="B512" s="11" t="s">
        <v>863</v>
      </c>
      <c r="C512" s="12" t="s">
        <v>1522</v>
      </c>
      <c r="D512" s="12" t="s">
        <v>1997</v>
      </c>
      <c r="E512" s="13">
        <v>1</v>
      </c>
      <c r="F512" s="111">
        <v>2313</v>
      </c>
      <c r="G512" s="13" t="s">
        <v>1998</v>
      </c>
      <c r="H512" s="14" t="s">
        <v>274</v>
      </c>
      <c r="I512" s="14" t="s">
        <v>1999</v>
      </c>
      <c r="J512" s="12" t="s">
        <v>972</v>
      </c>
      <c r="K512" s="15" t="s">
        <v>2000</v>
      </c>
      <c r="O512" s="11" t="s">
        <v>2001</v>
      </c>
    </row>
    <row r="513" spans="1:15" hidden="1" x14ac:dyDescent="0.25">
      <c r="A513" s="11" t="s">
        <v>21</v>
      </c>
      <c r="B513" s="11" t="s">
        <v>863</v>
      </c>
      <c r="C513" s="12" t="s">
        <v>1522</v>
      </c>
      <c r="D513" s="12" t="s">
        <v>2002</v>
      </c>
      <c r="E513" s="13">
        <v>1</v>
      </c>
      <c r="F513" s="111">
        <v>2313</v>
      </c>
      <c r="G513" s="13" t="s">
        <v>2003</v>
      </c>
      <c r="H513" s="14" t="s">
        <v>274</v>
      </c>
      <c r="I513" s="14" t="s">
        <v>2004</v>
      </c>
      <c r="J513" s="12" t="s">
        <v>972</v>
      </c>
      <c r="K513" s="15" t="s">
        <v>2005</v>
      </c>
      <c r="O513" s="11" t="s">
        <v>2006</v>
      </c>
    </row>
    <row r="514" spans="1:15" hidden="1" x14ac:dyDescent="0.25">
      <c r="A514" s="11" t="s">
        <v>21</v>
      </c>
      <c r="B514" s="11" t="s">
        <v>863</v>
      </c>
      <c r="C514" s="12" t="s">
        <v>1522</v>
      </c>
      <c r="D514" s="12" t="s">
        <v>2007</v>
      </c>
      <c r="E514" s="13">
        <v>1</v>
      </c>
      <c r="F514" s="111">
        <v>2313</v>
      </c>
      <c r="G514" s="13" t="s">
        <v>2008</v>
      </c>
      <c r="H514" s="14" t="s">
        <v>274</v>
      </c>
      <c r="I514" s="14" t="s">
        <v>2009</v>
      </c>
      <c r="J514" s="12" t="s">
        <v>972</v>
      </c>
      <c r="K514" s="15" t="s">
        <v>2010</v>
      </c>
      <c r="O514" s="11" t="s">
        <v>2011</v>
      </c>
    </row>
    <row r="515" spans="1:15" hidden="1" x14ac:dyDescent="0.25">
      <c r="A515" s="11" t="s">
        <v>2</v>
      </c>
      <c r="D515" s="12" t="s">
        <v>275</v>
      </c>
      <c r="G515" s="13" t="s">
        <v>280</v>
      </c>
      <c r="H515" s="14" t="s">
        <v>277</v>
      </c>
      <c r="I515" s="14" t="s">
        <v>281</v>
      </c>
      <c r="K515" s="15" t="s">
        <v>282</v>
      </c>
      <c r="O515" s="11" t="s">
        <v>3263</v>
      </c>
    </row>
    <row r="516" spans="1:15" hidden="1" x14ac:dyDescent="0.25">
      <c r="A516" s="11" t="s">
        <v>134</v>
      </c>
      <c r="B516" s="11" t="s">
        <v>134</v>
      </c>
      <c r="C516" s="12" t="s">
        <v>134</v>
      </c>
      <c r="D516" s="12" t="s">
        <v>2</v>
      </c>
      <c r="E516" s="13" t="s">
        <v>2</v>
      </c>
      <c r="F516" s="111" t="s">
        <v>2</v>
      </c>
      <c r="G516" s="13" t="s">
        <v>2</v>
      </c>
      <c r="H516" s="14" t="s">
        <v>2</v>
      </c>
      <c r="I516" s="14" t="s">
        <v>21</v>
      </c>
      <c r="J516" s="12" t="s">
        <v>21</v>
      </c>
      <c r="K516" s="15" t="s">
        <v>21</v>
      </c>
      <c r="L516" s="16" t="s">
        <v>21</v>
      </c>
      <c r="M516" s="16" t="s">
        <v>23</v>
      </c>
      <c r="N516" s="58" t="s">
        <v>21</v>
      </c>
      <c r="O516" s="11" t="s">
        <v>23</v>
      </c>
    </row>
    <row r="517" spans="1:15" hidden="1" x14ac:dyDescent="0.25">
      <c r="A517" s="11" t="s">
        <v>134</v>
      </c>
      <c r="B517" s="11" t="s">
        <v>134</v>
      </c>
      <c r="C517" s="12" t="s">
        <v>134</v>
      </c>
      <c r="D517" s="12" t="s">
        <v>2</v>
      </c>
      <c r="E517" s="13" t="s">
        <v>2</v>
      </c>
      <c r="F517" s="111" t="s">
        <v>2</v>
      </c>
      <c r="G517" s="13" t="s">
        <v>2</v>
      </c>
      <c r="H517" s="14" t="s">
        <v>2</v>
      </c>
      <c r="I517" s="14" t="s">
        <v>21</v>
      </c>
      <c r="J517" s="12" t="s">
        <v>21</v>
      </c>
      <c r="K517" s="15" t="s">
        <v>21</v>
      </c>
      <c r="L517" s="16" t="s">
        <v>21</v>
      </c>
      <c r="M517" s="16" t="s">
        <v>23</v>
      </c>
      <c r="N517" s="58" t="s">
        <v>21</v>
      </c>
      <c r="O517" s="11" t="s">
        <v>23</v>
      </c>
    </row>
    <row r="518" spans="1:15" hidden="1" x14ac:dyDescent="0.25">
      <c r="A518" s="11" t="s">
        <v>21</v>
      </c>
      <c r="B518" s="11" t="s">
        <v>863</v>
      </c>
      <c r="C518" s="12" t="s">
        <v>1327</v>
      </c>
      <c r="D518" s="12" t="s">
        <v>1424</v>
      </c>
      <c r="E518" s="13">
        <v>1</v>
      </c>
      <c r="F518" s="111">
        <v>2401</v>
      </c>
      <c r="G518" s="13" t="s">
        <v>1425</v>
      </c>
      <c r="H518" s="14" t="s">
        <v>554</v>
      </c>
      <c r="I518" s="14" t="s">
        <v>1426</v>
      </c>
      <c r="J518" s="12" t="s">
        <v>555</v>
      </c>
      <c r="K518" s="15" t="s">
        <v>1427</v>
      </c>
      <c r="O518" s="11" t="s">
        <v>1428</v>
      </c>
    </row>
    <row r="519" spans="1:15" hidden="1" x14ac:dyDescent="0.25">
      <c r="A519" s="11" t="s">
        <v>134</v>
      </c>
      <c r="B519" s="11" t="s">
        <v>134</v>
      </c>
      <c r="C519" s="12" t="s">
        <v>134</v>
      </c>
      <c r="D519" s="12" t="s">
        <v>2</v>
      </c>
      <c r="E519" s="13" t="s">
        <v>2</v>
      </c>
      <c r="F519" s="111" t="s">
        <v>2</v>
      </c>
      <c r="G519" s="13" t="s">
        <v>2</v>
      </c>
      <c r="H519" s="14" t="s">
        <v>2</v>
      </c>
      <c r="I519" s="14" t="s">
        <v>21</v>
      </c>
      <c r="J519" s="12" t="s">
        <v>21</v>
      </c>
      <c r="K519" s="15" t="s">
        <v>21</v>
      </c>
      <c r="L519" s="16" t="s">
        <v>21</v>
      </c>
      <c r="M519" s="16" t="s">
        <v>23</v>
      </c>
      <c r="N519" s="58" t="s">
        <v>21</v>
      </c>
      <c r="O519" s="11" t="s">
        <v>23</v>
      </c>
    </row>
    <row r="520" spans="1:15" hidden="1" x14ac:dyDescent="0.25">
      <c r="A520" s="11" t="s">
        <v>21</v>
      </c>
      <c r="B520" s="11" t="s">
        <v>863</v>
      </c>
      <c r="C520" s="12" t="s">
        <v>1327</v>
      </c>
      <c r="D520" s="12" t="s">
        <v>1419</v>
      </c>
      <c r="E520" s="13">
        <v>1</v>
      </c>
      <c r="F520" s="111">
        <v>2401</v>
      </c>
      <c r="G520" s="13" t="s">
        <v>1429</v>
      </c>
      <c r="H520" s="14" t="s">
        <v>274</v>
      </c>
      <c r="I520" s="14" t="s">
        <v>1430</v>
      </c>
      <c r="J520" s="12" t="s">
        <v>559</v>
      </c>
      <c r="K520" s="15" t="s">
        <v>1431</v>
      </c>
      <c r="O520" s="11" t="s">
        <v>1423</v>
      </c>
    </row>
    <row r="521" spans="1:15" hidden="1" x14ac:dyDescent="0.25">
      <c r="A521" s="11" t="s">
        <v>134</v>
      </c>
      <c r="B521" s="11" t="s">
        <v>134</v>
      </c>
      <c r="C521" s="12" t="s">
        <v>134</v>
      </c>
      <c r="D521" s="12" t="s">
        <v>2</v>
      </c>
      <c r="E521" s="13" t="s">
        <v>2</v>
      </c>
      <c r="F521" s="111" t="s">
        <v>2</v>
      </c>
      <c r="G521" s="13" t="s">
        <v>2</v>
      </c>
      <c r="H521" s="14" t="s">
        <v>2</v>
      </c>
      <c r="I521" s="14" t="s">
        <v>21</v>
      </c>
      <c r="J521" s="12" t="s">
        <v>21</v>
      </c>
      <c r="K521" s="15" t="s">
        <v>21</v>
      </c>
      <c r="L521" s="16" t="s">
        <v>21</v>
      </c>
      <c r="M521" s="16" t="s">
        <v>23</v>
      </c>
      <c r="N521" s="58" t="s">
        <v>21</v>
      </c>
      <c r="O521" s="11" t="s">
        <v>23</v>
      </c>
    </row>
    <row r="522" spans="1:15" hidden="1" x14ac:dyDescent="0.25">
      <c r="A522" s="11" t="s">
        <v>21</v>
      </c>
      <c r="B522" s="11" t="s">
        <v>863</v>
      </c>
      <c r="C522" s="12" t="s">
        <v>1327</v>
      </c>
      <c r="D522" s="12" t="s">
        <v>1419</v>
      </c>
      <c r="E522" s="13">
        <v>2</v>
      </c>
      <c r="F522" s="111">
        <v>2401</v>
      </c>
      <c r="G522" s="13" t="s">
        <v>1420</v>
      </c>
      <c r="H522" s="14" t="s">
        <v>274</v>
      </c>
      <c r="I522" s="14" t="s">
        <v>1421</v>
      </c>
      <c r="J522" s="12" t="s">
        <v>559</v>
      </c>
      <c r="K522" s="15" t="s">
        <v>1422</v>
      </c>
      <c r="O522" s="11" t="s">
        <v>1423</v>
      </c>
    </row>
    <row r="523" spans="1:15" hidden="1" x14ac:dyDescent="0.25">
      <c r="A523" s="11" t="s">
        <v>134</v>
      </c>
      <c r="B523" s="11" t="s">
        <v>134</v>
      </c>
      <c r="C523" s="12" t="s">
        <v>134</v>
      </c>
      <c r="D523" s="12" t="s">
        <v>2</v>
      </c>
      <c r="E523" s="13" t="s">
        <v>2</v>
      </c>
      <c r="F523" s="111" t="s">
        <v>2</v>
      </c>
      <c r="G523" s="13" t="s">
        <v>2</v>
      </c>
      <c r="H523" s="14" t="s">
        <v>2</v>
      </c>
      <c r="I523" s="14" t="s">
        <v>21</v>
      </c>
      <c r="J523" s="12" t="s">
        <v>21</v>
      </c>
      <c r="K523" s="15" t="s">
        <v>21</v>
      </c>
      <c r="L523" s="16" t="s">
        <v>21</v>
      </c>
      <c r="M523" s="16" t="s">
        <v>23</v>
      </c>
      <c r="N523" s="58" t="s">
        <v>21</v>
      </c>
      <c r="O523" s="11" t="s">
        <v>23</v>
      </c>
    </row>
    <row r="524" spans="1:15" hidden="1" x14ac:dyDescent="0.25">
      <c r="A524" s="11" t="s">
        <v>21</v>
      </c>
      <c r="B524" s="11" t="s">
        <v>863</v>
      </c>
      <c r="C524" s="12" t="s">
        <v>1327</v>
      </c>
      <c r="D524" s="12" t="s">
        <v>1391</v>
      </c>
      <c r="E524" s="13">
        <v>1</v>
      </c>
      <c r="F524" s="111">
        <v>2402</v>
      </c>
      <c r="G524" s="13" t="s">
        <v>1396</v>
      </c>
      <c r="H524" s="14" t="s">
        <v>274</v>
      </c>
      <c r="I524" s="14" t="s">
        <v>1397</v>
      </c>
      <c r="J524" s="12" t="s">
        <v>559</v>
      </c>
      <c r="K524" s="15" t="s">
        <v>1398</v>
      </c>
      <c r="O524" s="11" t="s">
        <v>1395</v>
      </c>
    </row>
    <row r="525" spans="1:15" hidden="1" x14ac:dyDescent="0.25">
      <c r="A525" s="11" t="s">
        <v>134</v>
      </c>
      <c r="B525" s="11" t="s">
        <v>134</v>
      </c>
      <c r="C525" s="12" t="s">
        <v>134</v>
      </c>
      <c r="D525" s="12" t="s">
        <v>2</v>
      </c>
      <c r="E525" s="13" t="s">
        <v>2</v>
      </c>
      <c r="F525" s="111" t="s">
        <v>2</v>
      </c>
      <c r="G525" s="13" t="s">
        <v>2</v>
      </c>
      <c r="H525" s="14" t="s">
        <v>2</v>
      </c>
      <c r="I525" s="14" t="s">
        <v>21</v>
      </c>
      <c r="J525" s="12" t="s">
        <v>21</v>
      </c>
      <c r="K525" s="15" t="s">
        <v>21</v>
      </c>
      <c r="L525" s="16" t="s">
        <v>21</v>
      </c>
      <c r="M525" s="16" t="s">
        <v>23</v>
      </c>
      <c r="N525" s="58" t="s">
        <v>21</v>
      </c>
      <c r="O525" s="11" t="s">
        <v>23</v>
      </c>
    </row>
    <row r="526" spans="1:15" hidden="1" x14ac:dyDescent="0.25">
      <c r="A526" s="11" t="s">
        <v>21</v>
      </c>
      <c r="B526" s="11" t="s">
        <v>863</v>
      </c>
      <c r="C526" s="12" t="s">
        <v>1327</v>
      </c>
      <c r="D526" s="12" t="s">
        <v>1498</v>
      </c>
      <c r="E526" s="13">
        <v>1</v>
      </c>
      <c r="F526" s="111">
        <v>2402</v>
      </c>
      <c r="G526" s="13" t="s">
        <v>1506</v>
      </c>
      <c r="H526" s="14" t="s">
        <v>274</v>
      </c>
      <c r="I526" s="14" t="s">
        <v>1507</v>
      </c>
      <c r="J526" s="12" t="s">
        <v>559</v>
      </c>
      <c r="K526" s="15" t="s">
        <v>1508</v>
      </c>
      <c r="O526" s="11" t="s">
        <v>1502</v>
      </c>
    </row>
    <row r="527" spans="1:15" hidden="1" x14ac:dyDescent="0.25">
      <c r="A527" s="11" t="s">
        <v>134</v>
      </c>
      <c r="B527" s="11" t="s">
        <v>134</v>
      </c>
      <c r="C527" s="12" t="s">
        <v>134</v>
      </c>
      <c r="D527" s="12" t="s">
        <v>2</v>
      </c>
      <c r="E527" s="13" t="s">
        <v>2</v>
      </c>
      <c r="F527" s="111" t="s">
        <v>2</v>
      </c>
      <c r="G527" s="13" t="s">
        <v>2</v>
      </c>
      <c r="H527" s="14" t="s">
        <v>2</v>
      </c>
      <c r="I527" s="14" t="s">
        <v>21</v>
      </c>
      <c r="J527" s="12" t="s">
        <v>21</v>
      </c>
      <c r="K527" s="15" t="s">
        <v>21</v>
      </c>
      <c r="L527" s="16" t="s">
        <v>21</v>
      </c>
      <c r="M527" s="16" t="s">
        <v>23</v>
      </c>
      <c r="N527" s="58" t="s">
        <v>21</v>
      </c>
      <c r="O527" s="11" t="s">
        <v>23</v>
      </c>
    </row>
    <row r="528" spans="1:15" hidden="1" x14ac:dyDescent="0.25">
      <c r="A528" s="11" t="s">
        <v>21</v>
      </c>
      <c r="B528" s="11" t="s">
        <v>863</v>
      </c>
      <c r="C528" s="12" t="s">
        <v>1327</v>
      </c>
      <c r="D528" s="12" t="s">
        <v>1391</v>
      </c>
      <c r="E528" s="13">
        <v>2</v>
      </c>
      <c r="F528" s="111">
        <v>2402</v>
      </c>
      <c r="G528" s="13" t="s">
        <v>1392</v>
      </c>
      <c r="H528" s="14" t="s">
        <v>274</v>
      </c>
      <c r="I528" s="14" t="s">
        <v>1393</v>
      </c>
      <c r="J528" s="12" t="s">
        <v>559</v>
      </c>
      <c r="K528" s="15" t="s">
        <v>1394</v>
      </c>
      <c r="O528" s="11" t="s">
        <v>1395</v>
      </c>
    </row>
    <row r="529" spans="1:15" hidden="1" x14ac:dyDescent="0.25">
      <c r="A529" s="11" t="s">
        <v>134</v>
      </c>
      <c r="B529" s="11" t="s">
        <v>134</v>
      </c>
      <c r="C529" s="12" t="s">
        <v>134</v>
      </c>
      <c r="D529" s="12" t="s">
        <v>2</v>
      </c>
      <c r="E529" s="13" t="s">
        <v>2</v>
      </c>
      <c r="F529" s="111" t="s">
        <v>2</v>
      </c>
      <c r="G529" s="13" t="s">
        <v>2</v>
      </c>
      <c r="H529" s="14" t="s">
        <v>2</v>
      </c>
      <c r="I529" s="14" t="s">
        <v>21</v>
      </c>
      <c r="J529" s="12" t="s">
        <v>21</v>
      </c>
      <c r="K529" s="15" t="s">
        <v>21</v>
      </c>
      <c r="L529" s="16" t="s">
        <v>21</v>
      </c>
      <c r="M529" s="16" t="s">
        <v>23</v>
      </c>
      <c r="N529" s="58" t="s">
        <v>21</v>
      </c>
      <c r="O529" s="11" t="s">
        <v>23</v>
      </c>
    </row>
    <row r="530" spans="1:15" hidden="1" x14ac:dyDescent="0.25">
      <c r="A530" s="11" t="s">
        <v>21</v>
      </c>
      <c r="B530" s="11" t="s">
        <v>863</v>
      </c>
      <c r="C530" s="12" t="s">
        <v>1327</v>
      </c>
      <c r="D530" s="12" t="s">
        <v>1498</v>
      </c>
      <c r="E530" s="13">
        <v>2</v>
      </c>
      <c r="F530" s="111">
        <v>2402</v>
      </c>
      <c r="G530" s="13" t="s">
        <v>1503</v>
      </c>
      <c r="H530" s="14" t="s">
        <v>274</v>
      </c>
      <c r="I530" s="14" t="s">
        <v>1504</v>
      </c>
      <c r="J530" s="12" t="s">
        <v>559</v>
      </c>
      <c r="K530" s="15" t="s">
        <v>1505</v>
      </c>
      <c r="O530" s="11" t="s">
        <v>1502</v>
      </c>
    </row>
    <row r="531" spans="1:15" hidden="1" x14ac:dyDescent="0.25">
      <c r="A531" s="11" t="s">
        <v>134</v>
      </c>
      <c r="B531" s="11" t="s">
        <v>134</v>
      </c>
      <c r="C531" s="12" t="s">
        <v>134</v>
      </c>
      <c r="D531" s="12" t="s">
        <v>2</v>
      </c>
      <c r="E531" s="13" t="s">
        <v>2</v>
      </c>
      <c r="F531" s="111" t="s">
        <v>2</v>
      </c>
      <c r="G531" s="13" t="s">
        <v>2</v>
      </c>
      <c r="H531" s="14" t="s">
        <v>2</v>
      </c>
      <c r="I531" s="14" t="s">
        <v>21</v>
      </c>
      <c r="J531" s="12" t="s">
        <v>21</v>
      </c>
      <c r="K531" s="15" t="s">
        <v>21</v>
      </c>
      <c r="L531" s="16" t="s">
        <v>21</v>
      </c>
      <c r="M531" s="16" t="s">
        <v>23</v>
      </c>
      <c r="N531" s="58" t="s">
        <v>21</v>
      </c>
      <c r="O531" s="11" t="s">
        <v>23</v>
      </c>
    </row>
    <row r="532" spans="1:15" hidden="1" x14ac:dyDescent="0.25">
      <c r="A532" s="11" t="s">
        <v>21</v>
      </c>
      <c r="B532" s="11" t="s">
        <v>863</v>
      </c>
      <c r="C532" s="12" t="s">
        <v>1327</v>
      </c>
      <c r="D532" s="12" t="s">
        <v>1498</v>
      </c>
      <c r="E532" s="13">
        <v>3</v>
      </c>
      <c r="F532" s="111">
        <v>2402</v>
      </c>
      <c r="G532" s="13" t="s">
        <v>1499</v>
      </c>
      <c r="H532" s="14" t="s">
        <v>274</v>
      </c>
      <c r="I532" s="14" t="s">
        <v>1500</v>
      </c>
      <c r="J532" s="12" t="s">
        <v>559</v>
      </c>
      <c r="K532" s="15" t="s">
        <v>1501</v>
      </c>
      <c r="O532" s="11" t="s">
        <v>1502</v>
      </c>
    </row>
    <row r="533" spans="1:15" hidden="1" x14ac:dyDescent="0.25">
      <c r="A533" s="11" t="s">
        <v>134</v>
      </c>
      <c r="B533" s="11" t="s">
        <v>134</v>
      </c>
      <c r="C533" s="12" t="s">
        <v>134</v>
      </c>
      <c r="D533" s="12" t="s">
        <v>2</v>
      </c>
      <c r="E533" s="13" t="s">
        <v>2</v>
      </c>
      <c r="F533" s="111" t="s">
        <v>2</v>
      </c>
      <c r="G533" s="13" t="s">
        <v>2</v>
      </c>
      <c r="H533" s="14" t="s">
        <v>2</v>
      </c>
      <c r="I533" s="14" t="s">
        <v>21</v>
      </c>
      <c r="J533" s="12" t="s">
        <v>21</v>
      </c>
      <c r="K533" s="15" t="s">
        <v>21</v>
      </c>
      <c r="L533" s="16" t="s">
        <v>21</v>
      </c>
      <c r="M533" s="16" t="s">
        <v>23</v>
      </c>
      <c r="N533" s="58" t="s">
        <v>21</v>
      </c>
      <c r="O533" s="11" t="s">
        <v>23</v>
      </c>
    </row>
    <row r="534" spans="1:15" hidden="1" x14ac:dyDescent="0.25">
      <c r="A534" s="11" t="s">
        <v>21</v>
      </c>
      <c r="B534" s="11" t="s">
        <v>863</v>
      </c>
      <c r="C534" s="12" t="s">
        <v>1327</v>
      </c>
      <c r="D534" s="12" t="s">
        <v>1329</v>
      </c>
      <c r="E534" s="13">
        <v>1</v>
      </c>
      <c r="F534" s="111">
        <v>2403</v>
      </c>
      <c r="G534" s="13" t="s">
        <v>1337</v>
      </c>
      <c r="H534" s="14" t="s">
        <v>274</v>
      </c>
      <c r="I534" s="14" t="s">
        <v>1338</v>
      </c>
      <c r="J534" s="12" t="s">
        <v>559</v>
      </c>
      <c r="K534" s="15" t="s">
        <v>1339</v>
      </c>
      <c r="O534" s="11" t="s">
        <v>1333</v>
      </c>
    </row>
    <row r="535" spans="1:15" hidden="1" x14ac:dyDescent="0.25">
      <c r="A535" s="11" t="s">
        <v>134</v>
      </c>
      <c r="B535" s="11" t="s">
        <v>134</v>
      </c>
      <c r="C535" s="12" t="s">
        <v>134</v>
      </c>
      <c r="D535" s="12" t="s">
        <v>2</v>
      </c>
      <c r="E535" s="13" t="s">
        <v>2</v>
      </c>
      <c r="F535" s="111" t="s">
        <v>2</v>
      </c>
      <c r="G535" s="13" t="s">
        <v>2</v>
      </c>
      <c r="H535" s="14" t="s">
        <v>2</v>
      </c>
      <c r="I535" s="14" t="s">
        <v>21</v>
      </c>
      <c r="J535" s="12" t="s">
        <v>21</v>
      </c>
      <c r="K535" s="15" t="s">
        <v>21</v>
      </c>
      <c r="L535" s="16" t="s">
        <v>21</v>
      </c>
      <c r="M535" s="16" t="s">
        <v>23</v>
      </c>
      <c r="N535" s="58" t="s">
        <v>21</v>
      </c>
      <c r="O535" s="11" t="s">
        <v>23</v>
      </c>
    </row>
    <row r="536" spans="1:15" hidden="1" x14ac:dyDescent="0.25">
      <c r="A536" s="11" t="s">
        <v>21</v>
      </c>
      <c r="B536" s="11" t="s">
        <v>863</v>
      </c>
      <c r="C536" s="12" t="s">
        <v>1327</v>
      </c>
      <c r="D536" s="12" t="s">
        <v>1329</v>
      </c>
      <c r="E536" s="13">
        <v>2</v>
      </c>
      <c r="F536" s="111">
        <v>2403</v>
      </c>
      <c r="G536" s="13" t="s">
        <v>1334</v>
      </c>
      <c r="H536" s="14" t="s">
        <v>274</v>
      </c>
      <c r="I536" s="14" t="s">
        <v>1335</v>
      </c>
      <c r="J536" s="12" t="s">
        <v>559</v>
      </c>
      <c r="K536" s="15" t="s">
        <v>1336</v>
      </c>
      <c r="O536" s="11" t="s">
        <v>1333</v>
      </c>
    </row>
    <row r="537" spans="1:15" hidden="1" x14ac:dyDescent="0.25">
      <c r="A537" s="11" t="s">
        <v>134</v>
      </c>
      <c r="B537" s="11" t="s">
        <v>134</v>
      </c>
      <c r="C537" s="12" t="s">
        <v>134</v>
      </c>
      <c r="D537" s="12" t="s">
        <v>2</v>
      </c>
      <c r="E537" s="13" t="s">
        <v>2</v>
      </c>
      <c r="F537" s="111" t="s">
        <v>2</v>
      </c>
      <c r="G537" s="13" t="s">
        <v>2</v>
      </c>
      <c r="H537" s="14" t="s">
        <v>2</v>
      </c>
      <c r="I537" s="14" t="s">
        <v>21</v>
      </c>
      <c r="J537" s="12" t="s">
        <v>21</v>
      </c>
      <c r="K537" s="15" t="s">
        <v>21</v>
      </c>
      <c r="L537" s="16" t="s">
        <v>21</v>
      </c>
      <c r="M537" s="16" t="s">
        <v>23</v>
      </c>
      <c r="N537" s="58" t="s">
        <v>21</v>
      </c>
      <c r="O537" s="11" t="s">
        <v>23</v>
      </c>
    </row>
    <row r="538" spans="1:15" hidden="1" x14ac:dyDescent="0.25">
      <c r="A538" s="11" t="s">
        <v>21</v>
      </c>
      <c r="B538" s="11" t="s">
        <v>863</v>
      </c>
      <c r="C538" s="12" t="s">
        <v>1327</v>
      </c>
      <c r="D538" s="12" t="s">
        <v>1329</v>
      </c>
      <c r="E538" s="13">
        <v>3</v>
      </c>
      <c r="F538" s="111">
        <v>2403</v>
      </c>
      <c r="G538" s="13" t="s">
        <v>1330</v>
      </c>
      <c r="H538" s="14" t="s">
        <v>274</v>
      </c>
      <c r="I538" s="14" t="s">
        <v>1331</v>
      </c>
      <c r="J538" s="12" t="s">
        <v>559</v>
      </c>
      <c r="K538" s="15" t="s">
        <v>1332</v>
      </c>
      <c r="O538" s="11" t="s">
        <v>1333</v>
      </c>
    </row>
    <row r="539" spans="1:15" hidden="1" x14ac:dyDescent="0.25">
      <c r="A539" s="11" t="s">
        <v>21</v>
      </c>
      <c r="B539" s="11" t="s">
        <v>863</v>
      </c>
      <c r="C539" s="12" t="s">
        <v>1327</v>
      </c>
      <c r="D539" s="12" t="s">
        <v>1472</v>
      </c>
      <c r="E539" s="13">
        <v>1</v>
      </c>
      <c r="F539" s="111">
        <v>2404</v>
      </c>
      <c r="G539" s="13" t="s">
        <v>1473</v>
      </c>
      <c r="H539" s="14" t="s">
        <v>274</v>
      </c>
      <c r="I539" s="14" t="s">
        <v>1474</v>
      </c>
      <c r="J539" s="12" t="s">
        <v>559</v>
      </c>
      <c r="K539" s="15" t="s">
        <v>1475</v>
      </c>
      <c r="O539" s="11" t="s">
        <v>1476</v>
      </c>
    </row>
    <row r="540" spans="1:15" hidden="1" x14ac:dyDescent="0.25">
      <c r="A540" s="11" t="s">
        <v>21</v>
      </c>
      <c r="B540" s="11" t="s">
        <v>863</v>
      </c>
      <c r="C540" s="12" t="s">
        <v>1327</v>
      </c>
      <c r="D540" s="12" t="s">
        <v>1477</v>
      </c>
      <c r="E540" s="13">
        <v>1</v>
      </c>
      <c r="F540" s="111">
        <v>2404</v>
      </c>
      <c r="G540" s="13" t="s">
        <v>1478</v>
      </c>
      <c r="H540" s="14" t="s">
        <v>274</v>
      </c>
      <c r="I540" s="14" t="s">
        <v>1479</v>
      </c>
      <c r="J540" s="12" t="s">
        <v>559</v>
      </c>
      <c r="K540" s="15" t="s">
        <v>1480</v>
      </c>
      <c r="O540" s="11" t="s">
        <v>1481</v>
      </c>
    </row>
    <row r="541" spans="1:15" hidden="1" x14ac:dyDescent="0.25">
      <c r="A541" s="11" t="s">
        <v>21</v>
      </c>
      <c r="B541" s="11" t="s">
        <v>863</v>
      </c>
      <c r="C541" s="12" t="s">
        <v>1327</v>
      </c>
      <c r="D541" s="12" t="s">
        <v>1482</v>
      </c>
      <c r="E541" s="13">
        <v>1</v>
      </c>
      <c r="F541" s="111">
        <v>2404</v>
      </c>
      <c r="G541" s="13" t="s">
        <v>1483</v>
      </c>
      <c r="H541" s="14" t="s">
        <v>274</v>
      </c>
      <c r="I541" s="14" t="s">
        <v>1484</v>
      </c>
      <c r="J541" s="12" t="s">
        <v>559</v>
      </c>
      <c r="K541" s="15" t="s">
        <v>1485</v>
      </c>
      <c r="O541" s="11" t="s">
        <v>1486</v>
      </c>
    </row>
    <row r="542" spans="1:15" hidden="1" x14ac:dyDescent="0.25">
      <c r="A542" s="11" t="s">
        <v>21</v>
      </c>
      <c r="B542" s="11" t="s">
        <v>863</v>
      </c>
      <c r="C542" s="12" t="s">
        <v>1327</v>
      </c>
      <c r="D542" s="12" t="s">
        <v>1487</v>
      </c>
      <c r="E542" s="13">
        <v>1</v>
      </c>
      <c r="F542" s="111">
        <v>2404</v>
      </c>
      <c r="G542" s="13" t="s">
        <v>1488</v>
      </c>
      <c r="H542" s="14" t="s">
        <v>274</v>
      </c>
      <c r="I542" s="14" t="s">
        <v>1489</v>
      </c>
      <c r="J542" s="12" t="s">
        <v>559</v>
      </c>
      <c r="K542" s="15" t="s">
        <v>1490</v>
      </c>
      <c r="O542" s="11" t="s">
        <v>1491</v>
      </c>
    </row>
    <row r="543" spans="1:15" hidden="1" x14ac:dyDescent="0.25">
      <c r="A543" s="11" t="s">
        <v>21</v>
      </c>
      <c r="B543" s="11" t="s">
        <v>863</v>
      </c>
      <c r="C543" s="12" t="s">
        <v>1327</v>
      </c>
      <c r="D543" s="12" t="s">
        <v>1492</v>
      </c>
      <c r="E543" s="13">
        <v>1</v>
      </c>
      <c r="F543" s="111">
        <v>2404</v>
      </c>
      <c r="G543" s="13" t="s">
        <v>1493</v>
      </c>
      <c r="H543" s="14" t="s">
        <v>274</v>
      </c>
      <c r="I543" s="14" t="s">
        <v>1494</v>
      </c>
      <c r="J543" s="12" t="s">
        <v>559</v>
      </c>
      <c r="K543" s="15" t="s">
        <v>1495</v>
      </c>
      <c r="O543" s="11" t="s">
        <v>1496</v>
      </c>
    </row>
    <row r="544" spans="1:15" hidden="1" x14ac:dyDescent="0.25">
      <c r="A544" s="11" t="s">
        <v>134</v>
      </c>
      <c r="B544" s="11" t="s">
        <v>134</v>
      </c>
      <c r="C544" s="12" t="s">
        <v>134</v>
      </c>
      <c r="D544" s="12" t="s">
        <v>2</v>
      </c>
      <c r="E544" s="13" t="s">
        <v>2</v>
      </c>
      <c r="F544" s="111" t="s">
        <v>2</v>
      </c>
      <c r="G544" s="13" t="s">
        <v>2</v>
      </c>
      <c r="H544" s="14" t="s">
        <v>2</v>
      </c>
      <c r="I544" s="14" t="s">
        <v>21</v>
      </c>
      <c r="J544" s="12" t="s">
        <v>21</v>
      </c>
      <c r="K544" s="15" t="s">
        <v>21</v>
      </c>
      <c r="L544" s="16" t="s">
        <v>21</v>
      </c>
      <c r="M544" s="16" t="s">
        <v>23</v>
      </c>
      <c r="N544" s="58" t="s">
        <v>21</v>
      </c>
      <c r="O544" s="11" t="s">
        <v>23</v>
      </c>
    </row>
    <row r="545" spans="1:15" hidden="1" x14ac:dyDescent="0.25">
      <c r="A545" s="11" t="s">
        <v>21</v>
      </c>
      <c r="B545" s="11" t="s">
        <v>863</v>
      </c>
      <c r="C545" s="12" t="s">
        <v>1327</v>
      </c>
      <c r="D545" s="12" t="s">
        <v>1340</v>
      </c>
      <c r="E545" s="13">
        <v>1</v>
      </c>
      <c r="F545" s="111">
        <v>2405</v>
      </c>
      <c r="G545" s="13" t="s">
        <v>1341</v>
      </c>
      <c r="H545" s="14" t="s">
        <v>274</v>
      </c>
      <c r="I545" s="14" t="s">
        <v>1342</v>
      </c>
      <c r="J545" s="12" t="s">
        <v>559</v>
      </c>
      <c r="K545" s="15" t="s">
        <v>1343</v>
      </c>
      <c r="O545" s="11" t="s">
        <v>1344</v>
      </c>
    </row>
    <row r="546" spans="1:15" hidden="1" x14ac:dyDescent="0.25">
      <c r="A546" s="11" t="s">
        <v>134</v>
      </c>
      <c r="B546" s="11" t="s">
        <v>134</v>
      </c>
      <c r="C546" s="12" t="s">
        <v>134</v>
      </c>
      <c r="D546" s="12" t="s">
        <v>2</v>
      </c>
      <c r="E546" s="13" t="s">
        <v>2</v>
      </c>
      <c r="F546" s="111" t="s">
        <v>2</v>
      </c>
      <c r="G546" s="13" t="s">
        <v>2</v>
      </c>
      <c r="H546" s="14" t="s">
        <v>2</v>
      </c>
      <c r="I546" s="14" t="s">
        <v>21</v>
      </c>
      <c r="J546" s="12" t="s">
        <v>21</v>
      </c>
      <c r="K546" s="15" t="s">
        <v>21</v>
      </c>
      <c r="L546" s="16" t="s">
        <v>21</v>
      </c>
      <c r="M546" s="16" t="s">
        <v>23</v>
      </c>
      <c r="N546" s="58" t="s">
        <v>21</v>
      </c>
      <c r="O546" s="11" t="s">
        <v>23</v>
      </c>
    </row>
    <row r="547" spans="1:15" hidden="1" x14ac:dyDescent="0.25">
      <c r="A547" s="11" t="s">
        <v>21</v>
      </c>
      <c r="B547" s="11" t="s">
        <v>863</v>
      </c>
      <c r="C547" s="12" t="s">
        <v>1327</v>
      </c>
      <c r="D547" s="12" t="s">
        <v>1345</v>
      </c>
      <c r="E547" s="13">
        <v>1</v>
      </c>
      <c r="F547" s="111">
        <v>2405</v>
      </c>
      <c r="G547" s="13" t="s">
        <v>1346</v>
      </c>
      <c r="H547" s="14" t="s">
        <v>274</v>
      </c>
      <c r="I547" s="14" t="s">
        <v>1347</v>
      </c>
      <c r="J547" s="12" t="s">
        <v>559</v>
      </c>
      <c r="K547" s="15" t="s">
        <v>1348</v>
      </c>
      <c r="O547" s="11" t="s">
        <v>1349</v>
      </c>
    </row>
    <row r="548" spans="1:15" hidden="1" x14ac:dyDescent="0.25">
      <c r="A548" s="11" t="s">
        <v>134</v>
      </c>
      <c r="B548" s="11" t="s">
        <v>134</v>
      </c>
      <c r="C548" s="12" t="s">
        <v>134</v>
      </c>
      <c r="D548" s="12" t="s">
        <v>2</v>
      </c>
      <c r="E548" s="13" t="s">
        <v>2</v>
      </c>
      <c r="F548" s="111" t="s">
        <v>2</v>
      </c>
      <c r="G548" s="13" t="s">
        <v>2</v>
      </c>
      <c r="H548" s="14" t="s">
        <v>2</v>
      </c>
      <c r="I548" s="14" t="s">
        <v>21</v>
      </c>
      <c r="J548" s="12" t="s">
        <v>21</v>
      </c>
      <c r="K548" s="15" t="s">
        <v>21</v>
      </c>
      <c r="L548" s="16" t="s">
        <v>21</v>
      </c>
      <c r="M548" s="16" t="s">
        <v>21</v>
      </c>
      <c r="N548" s="58" t="s">
        <v>21</v>
      </c>
      <c r="O548" s="11" t="s">
        <v>21</v>
      </c>
    </row>
    <row r="549" spans="1:15" hidden="1" x14ac:dyDescent="0.25">
      <c r="A549" s="11" t="s">
        <v>21</v>
      </c>
      <c r="B549" s="11" t="s">
        <v>863</v>
      </c>
      <c r="C549" s="12" t="s">
        <v>1327</v>
      </c>
      <c r="D549" s="12" t="s">
        <v>1462</v>
      </c>
      <c r="E549" s="13">
        <v>1</v>
      </c>
      <c r="F549" s="111">
        <v>2405</v>
      </c>
      <c r="G549" s="13" t="s">
        <v>1463</v>
      </c>
      <c r="H549" s="14" t="s">
        <v>274</v>
      </c>
      <c r="I549" s="14" t="s">
        <v>1464</v>
      </c>
      <c r="J549" s="12" t="s">
        <v>559</v>
      </c>
      <c r="K549" s="15" t="s">
        <v>1465</v>
      </c>
      <c r="O549" s="11" t="s">
        <v>1466</v>
      </c>
    </row>
    <row r="550" spans="1:15" hidden="1" x14ac:dyDescent="0.25">
      <c r="A550" s="11" t="s">
        <v>134</v>
      </c>
      <c r="B550" s="11" t="s">
        <v>134</v>
      </c>
      <c r="C550" s="12" t="s">
        <v>134</v>
      </c>
      <c r="D550" s="12" t="s">
        <v>2</v>
      </c>
      <c r="E550" s="13" t="s">
        <v>2</v>
      </c>
      <c r="F550" s="111" t="s">
        <v>2</v>
      </c>
      <c r="G550" s="13" t="s">
        <v>2</v>
      </c>
      <c r="H550" s="14" t="s">
        <v>2</v>
      </c>
      <c r="I550" s="14" t="s">
        <v>21</v>
      </c>
      <c r="J550" s="12" t="s">
        <v>21</v>
      </c>
      <c r="K550" s="15" t="s">
        <v>21</v>
      </c>
      <c r="L550" s="16" t="s">
        <v>21</v>
      </c>
      <c r="M550" s="16" t="s">
        <v>23</v>
      </c>
      <c r="N550" s="58" t="s">
        <v>21</v>
      </c>
      <c r="O550" s="11" t="s">
        <v>23</v>
      </c>
    </row>
    <row r="551" spans="1:15" hidden="1" x14ac:dyDescent="0.25">
      <c r="A551" s="11" t="s">
        <v>21</v>
      </c>
      <c r="B551" s="11" t="s">
        <v>863</v>
      </c>
      <c r="C551" s="12" t="s">
        <v>1327</v>
      </c>
      <c r="D551" s="12" t="s">
        <v>1467</v>
      </c>
      <c r="E551" s="13">
        <v>1</v>
      </c>
      <c r="F551" s="111">
        <v>2405</v>
      </c>
      <c r="G551" s="13" t="s">
        <v>1468</v>
      </c>
      <c r="H551" s="14" t="s">
        <v>274</v>
      </c>
      <c r="I551" s="14" t="s">
        <v>1469</v>
      </c>
      <c r="J551" s="12" t="s">
        <v>559</v>
      </c>
      <c r="K551" s="15" t="s">
        <v>1470</v>
      </c>
      <c r="O551" s="11" t="s">
        <v>1471</v>
      </c>
    </row>
    <row r="552" spans="1:15" hidden="1" x14ac:dyDescent="0.25">
      <c r="A552" s="11" t="s">
        <v>134</v>
      </c>
      <c r="B552" s="11" t="s">
        <v>134</v>
      </c>
      <c r="C552" s="12" t="s">
        <v>134</v>
      </c>
      <c r="D552" s="12" t="s">
        <v>2</v>
      </c>
      <c r="E552" s="13" t="s">
        <v>2</v>
      </c>
      <c r="F552" s="111" t="s">
        <v>2</v>
      </c>
      <c r="G552" s="13" t="s">
        <v>2</v>
      </c>
      <c r="H552" s="14" t="s">
        <v>2</v>
      </c>
      <c r="I552" s="14" t="s">
        <v>21</v>
      </c>
      <c r="J552" s="12" t="s">
        <v>21</v>
      </c>
      <c r="K552" s="15" t="s">
        <v>21</v>
      </c>
      <c r="L552" s="16" t="s">
        <v>21</v>
      </c>
      <c r="M552" s="16" t="s">
        <v>21</v>
      </c>
      <c r="N552" s="58" t="s">
        <v>21</v>
      </c>
      <c r="O552" s="11" t="s">
        <v>21</v>
      </c>
    </row>
    <row r="553" spans="1:15" hidden="1" x14ac:dyDescent="0.25">
      <c r="A553" s="11" t="s">
        <v>21</v>
      </c>
      <c r="B553" s="11" t="s">
        <v>863</v>
      </c>
      <c r="C553" s="12" t="s">
        <v>1327</v>
      </c>
      <c r="D553" s="12" t="s">
        <v>1452</v>
      </c>
      <c r="E553" s="13">
        <v>1</v>
      </c>
      <c r="F553" s="111">
        <v>2406</v>
      </c>
      <c r="G553" s="13" t="s">
        <v>1453</v>
      </c>
      <c r="H553" s="14" t="s">
        <v>274</v>
      </c>
      <c r="I553" s="14" t="s">
        <v>1454</v>
      </c>
      <c r="J553" s="12" t="s">
        <v>559</v>
      </c>
      <c r="K553" s="15" t="s">
        <v>1455</v>
      </c>
      <c r="O553" s="11" t="s">
        <v>1456</v>
      </c>
    </row>
    <row r="554" spans="1:15" hidden="1" x14ac:dyDescent="0.25">
      <c r="A554" s="11" t="s">
        <v>134</v>
      </c>
      <c r="B554" s="11" t="s">
        <v>134</v>
      </c>
      <c r="C554" s="12" t="s">
        <v>134</v>
      </c>
      <c r="D554" s="12" t="s">
        <v>2</v>
      </c>
      <c r="E554" s="13" t="s">
        <v>2</v>
      </c>
      <c r="F554" s="111" t="s">
        <v>2</v>
      </c>
      <c r="G554" s="13" t="s">
        <v>2</v>
      </c>
      <c r="H554" s="14" t="s">
        <v>2</v>
      </c>
      <c r="I554" s="14" t="s">
        <v>21</v>
      </c>
      <c r="J554" s="12" t="s">
        <v>21</v>
      </c>
      <c r="K554" s="15" t="s">
        <v>21</v>
      </c>
      <c r="L554" s="16" t="s">
        <v>21</v>
      </c>
      <c r="M554" s="16" t="s">
        <v>23</v>
      </c>
      <c r="N554" s="58" t="s">
        <v>21</v>
      </c>
      <c r="O554" s="11" t="s">
        <v>23</v>
      </c>
    </row>
    <row r="555" spans="1:15" hidden="1" x14ac:dyDescent="0.25">
      <c r="A555" s="11" t="s">
        <v>21</v>
      </c>
      <c r="B555" s="11" t="s">
        <v>863</v>
      </c>
      <c r="C555" s="12" t="s">
        <v>1327</v>
      </c>
      <c r="D555" s="12" t="s">
        <v>1457</v>
      </c>
      <c r="E555" s="13">
        <v>1</v>
      </c>
      <c r="F555" s="111">
        <v>2406</v>
      </c>
      <c r="G555" s="13" t="s">
        <v>1458</v>
      </c>
      <c r="H555" s="14" t="s">
        <v>274</v>
      </c>
      <c r="I555" s="14" t="s">
        <v>1459</v>
      </c>
      <c r="J555" s="12" t="s">
        <v>559</v>
      </c>
      <c r="K555" s="15" t="s">
        <v>1460</v>
      </c>
      <c r="O555" s="11" t="s">
        <v>1461</v>
      </c>
    </row>
    <row r="556" spans="1:15" hidden="1" x14ac:dyDescent="0.25">
      <c r="A556" s="11" t="s">
        <v>134</v>
      </c>
      <c r="B556" s="11" t="s">
        <v>134</v>
      </c>
      <c r="C556" s="12" t="s">
        <v>134</v>
      </c>
      <c r="D556" s="12" t="s">
        <v>2</v>
      </c>
      <c r="E556" s="13" t="s">
        <v>2</v>
      </c>
      <c r="F556" s="111" t="s">
        <v>2</v>
      </c>
      <c r="G556" s="13" t="s">
        <v>2</v>
      </c>
      <c r="H556" s="14" t="s">
        <v>2</v>
      </c>
      <c r="I556" s="14" t="s">
        <v>21</v>
      </c>
      <c r="J556" s="12" t="s">
        <v>21</v>
      </c>
      <c r="K556" s="15" t="s">
        <v>21</v>
      </c>
      <c r="L556" s="16" t="s">
        <v>21</v>
      </c>
      <c r="M556" s="16" t="s">
        <v>23</v>
      </c>
      <c r="N556" s="58" t="s">
        <v>21</v>
      </c>
      <c r="O556" s="11" t="s">
        <v>23</v>
      </c>
    </row>
    <row r="557" spans="1:15" hidden="1" x14ac:dyDescent="0.25">
      <c r="A557" s="11" t="s">
        <v>21</v>
      </c>
      <c r="B557" s="11" t="s">
        <v>863</v>
      </c>
      <c r="C557" s="12" t="s">
        <v>1327</v>
      </c>
      <c r="D557" s="12" t="s">
        <v>1432</v>
      </c>
      <c r="E557" s="13">
        <v>1</v>
      </c>
      <c r="F557" s="111">
        <v>2407</v>
      </c>
      <c r="G557" s="13" t="s">
        <v>1433</v>
      </c>
      <c r="H557" s="14" t="s">
        <v>274</v>
      </c>
      <c r="I557" s="14" t="s">
        <v>1434</v>
      </c>
      <c r="J557" s="12" t="s">
        <v>559</v>
      </c>
      <c r="K557" s="15" t="s">
        <v>1435</v>
      </c>
      <c r="O557" s="11" t="s">
        <v>1436</v>
      </c>
    </row>
    <row r="558" spans="1:15" hidden="1" x14ac:dyDescent="0.25">
      <c r="A558" s="11" t="s">
        <v>134</v>
      </c>
      <c r="B558" s="11" t="s">
        <v>134</v>
      </c>
      <c r="C558" s="12" t="s">
        <v>134</v>
      </c>
      <c r="D558" s="12" t="s">
        <v>2</v>
      </c>
      <c r="E558" s="13" t="s">
        <v>2</v>
      </c>
      <c r="F558" s="111" t="s">
        <v>2</v>
      </c>
      <c r="G558" s="13" t="s">
        <v>2</v>
      </c>
      <c r="H558" s="14" t="s">
        <v>2</v>
      </c>
      <c r="I558" s="14" t="s">
        <v>21</v>
      </c>
      <c r="J558" s="12" t="s">
        <v>21</v>
      </c>
      <c r="K558" s="15" t="s">
        <v>21</v>
      </c>
      <c r="L558" s="16" t="s">
        <v>21</v>
      </c>
      <c r="M558" s="16" t="s">
        <v>23</v>
      </c>
      <c r="N558" s="58" t="s">
        <v>21</v>
      </c>
      <c r="O558" s="11" t="s">
        <v>23</v>
      </c>
    </row>
    <row r="559" spans="1:15" hidden="1" x14ac:dyDescent="0.25">
      <c r="A559" s="11" t="s">
        <v>21</v>
      </c>
      <c r="B559" s="11" t="s">
        <v>863</v>
      </c>
      <c r="C559" s="12" t="s">
        <v>1327</v>
      </c>
      <c r="D559" s="12" t="s">
        <v>1437</v>
      </c>
      <c r="E559" s="13">
        <v>1</v>
      </c>
      <c r="F559" s="111">
        <v>2407</v>
      </c>
      <c r="G559" s="13" t="s">
        <v>1438</v>
      </c>
      <c r="H559" s="14" t="s">
        <v>274</v>
      </c>
      <c r="I559" s="14" t="s">
        <v>1439</v>
      </c>
      <c r="J559" s="12" t="s">
        <v>559</v>
      </c>
      <c r="K559" s="15" t="s">
        <v>1440</v>
      </c>
      <c r="O559" s="11" t="s">
        <v>1441</v>
      </c>
    </row>
    <row r="560" spans="1:15" hidden="1" x14ac:dyDescent="0.25">
      <c r="A560" s="11" t="s">
        <v>134</v>
      </c>
      <c r="B560" s="11" t="s">
        <v>134</v>
      </c>
      <c r="C560" s="12" t="s">
        <v>134</v>
      </c>
      <c r="D560" s="12" t="s">
        <v>2</v>
      </c>
      <c r="E560" s="13" t="s">
        <v>2</v>
      </c>
      <c r="F560" s="111" t="s">
        <v>2</v>
      </c>
      <c r="G560" s="13" t="s">
        <v>2</v>
      </c>
      <c r="H560" s="14" t="s">
        <v>2</v>
      </c>
      <c r="I560" s="14" t="s">
        <v>21</v>
      </c>
      <c r="J560" s="12" t="s">
        <v>21</v>
      </c>
      <c r="K560" s="15" t="s">
        <v>21</v>
      </c>
      <c r="L560" s="16" t="s">
        <v>21</v>
      </c>
      <c r="M560" s="16" t="s">
        <v>21</v>
      </c>
      <c r="N560" s="58" t="s">
        <v>21</v>
      </c>
      <c r="O560" s="11" t="s">
        <v>21</v>
      </c>
    </row>
    <row r="561" spans="1:15" hidden="1" x14ac:dyDescent="0.25">
      <c r="A561" s="11" t="s">
        <v>21</v>
      </c>
      <c r="B561" s="11" t="s">
        <v>863</v>
      </c>
      <c r="C561" s="12" t="s">
        <v>1327</v>
      </c>
      <c r="D561" s="12" t="s">
        <v>1442</v>
      </c>
      <c r="E561" s="13">
        <v>1</v>
      </c>
      <c r="F561" s="111">
        <v>2407</v>
      </c>
      <c r="G561" s="13" t="s">
        <v>1443</v>
      </c>
      <c r="H561" s="14" t="s">
        <v>274</v>
      </c>
      <c r="I561" s="14" t="s">
        <v>1444</v>
      </c>
      <c r="J561" s="12" t="s">
        <v>559</v>
      </c>
      <c r="K561" s="15" t="s">
        <v>1445</v>
      </c>
      <c r="O561" s="11" t="s">
        <v>1446</v>
      </c>
    </row>
    <row r="562" spans="1:15" hidden="1" x14ac:dyDescent="0.25">
      <c r="A562" s="11" t="s">
        <v>134</v>
      </c>
      <c r="B562" s="11" t="s">
        <v>134</v>
      </c>
      <c r="C562" s="12" t="s">
        <v>134</v>
      </c>
      <c r="D562" s="12" t="s">
        <v>2</v>
      </c>
      <c r="E562" s="13" t="s">
        <v>2</v>
      </c>
      <c r="F562" s="111" t="s">
        <v>2</v>
      </c>
      <c r="G562" s="13" t="s">
        <v>2</v>
      </c>
      <c r="H562" s="14" t="s">
        <v>2</v>
      </c>
      <c r="I562" s="14" t="s">
        <v>21</v>
      </c>
      <c r="J562" s="12" t="s">
        <v>21</v>
      </c>
      <c r="K562" s="15" t="s">
        <v>21</v>
      </c>
      <c r="L562" s="16" t="s">
        <v>21</v>
      </c>
      <c r="M562" s="16" t="s">
        <v>21</v>
      </c>
      <c r="N562" s="58" t="s">
        <v>21</v>
      </c>
      <c r="O562" s="11" t="s">
        <v>23</v>
      </c>
    </row>
    <row r="563" spans="1:15" hidden="1" x14ac:dyDescent="0.25">
      <c r="A563" s="11" t="s">
        <v>21</v>
      </c>
      <c r="B563" s="11" t="s">
        <v>863</v>
      </c>
      <c r="C563" s="12" t="s">
        <v>1327</v>
      </c>
      <c r="D563" s="12" t="s">
        <v>1447</v>
      </c>
      <c r="E563" s="13">
        <v>1</v>
      </c>
      <c r="F563" s="111">
        <v>2407</v>
      </c>
      <c r="G563" s="13" t="s">
        <v>1448</v>
      </c>
      <c r="H563" s="14" t="s">
        <v>274</v>
      </c>
      <c r="I563" s="14" t="s">
        <v>1449</v>
      </c>
      <c r="J563" s="12" t="s">
        <v>559</v>
      </c>
      <c r="K563" s="15" t="s">
        <v>1450</v>
      </c>
      <c r="O563" s="11" t="s">
        <v>1451</v>
      </c>
    </row>
    <row r="564" spans="1:15" hidden="1" x14ac:dyDescent="0.25">
      <c r="A564" s="11" t="s">
        <v>134</v>
      </c>
      <c r="B564" s="11" t="s">
        <v>134</v>
      </c>
      <c r="C564" s="12" t="s">
        <v>134</v>
      </c>
      <c r="D564" s="12" t="s">
        <v>2</v>
      </c>
      <c r="E564" s="13" t="s">
        <v>2</v>
      </c>
      <c r="F564" s="111" t="s">
        <v>2</v>
      </c>
      <c r="G564" s="13" t="s">
        <v>2</v>
      </c>
      <c r="H564" s="14" t="s">
        <v>2</v>
      </c>
      <c r="I564" s="14" t="s">
        <v>21</v>
      </c>
      <c r="J564" s="12" t="s">
        <v>21</v>
      </c>
      <c r="K564" s="15" t="s">
        <v>21</v>
      </c>
      <c r="L564" s="16" t="s">
        <v>21</v>
      </c>
      <c r="M564" s="16" t="s">
        <v>21</v>
      </c>
      <c r="N564" s="58" t="s">
        <v>21</v>
      </c>
      <c r="O564" s="11" t="s">
        <v>23</v>
      </c>
    </row>
    <row r="565" spans="1:15" hidden="1" x14ac:dyDescent="0.25">
      <c r="A565" s="11" t="s">
        <v>21</v>
      </c>
      <c r="B565" s="11" t="s">
        <v>863</v>
      </c>
      <c r="C565" s="12" t="s">
        <v>1327</v>
      </c>
      <c r="D565" s="12" t="s">
        <v>1509</v>
      </c>
      <c r="E565" s="13">
        <v>1</v>
      </c>
      <c r="F565" s="111">
        <v>2407</v>
      </c>
      <c r="G565" s="13" t="s">
        <v>1510</v>
      </c>
      <c r="H565" s="14" t="s">
        <v>274</v>
      </c>
      <c r="I565" s="14" t="s">
        <v>1511</v>
      </c>
      <c r="J565" s="12" t="s">
        <v>559</v>
      </c>
      <c r="K565" s="15" t="s">
        <v>1512</v>
      </c>
      <c r="O565" s="11" t="s">
        <v>1513</v>
      </c>
    </row>
    <row r="566" spans="1:15" hidden="1" x14ac:dyDescent="0.25">
      <c r="A566" s="11" t="s">
        <v>134</v>
      </c>
      <c r="B566" s="11" t="s">
        <v>134</v>
      </c>
      <c r="C566" s="12" t="s">
        <v>134</v>
      </c>
      <c r="D566" s="12" t="s">
        <v>2</v>
      </c>
      <c r="E566" s="13" t="s">
        <v>2</v>
      </c>
      <c r="F566" s="111" t="s">
        <v>2</v>
      </c>
      <c r="G566" s="13" t="s">
        <v>2</v>
      </c>
      <c r="H566" s="14" t="s">
        <v>2</v>
      </c>
      <c r="I566" s="14" t="s">
        <v>21</v>
      </c>
      <c r="J566" s="12" t="s">
        <v>21</v>
      </c>
      <c r="K566" s="15" t="s">
        <v>21</v>
      </c>
      <c r="L566" s="16" t="s">
        <v>21</v>
      </c>
      <c r="M566" s="16" t="s">
        <v>23</v>
      </c>
      <c r="N566" s="58" t="s">
        <v>21</v>
      </c>
      <c r="O566" s="11" t="s">
        <v>23</v>
      </c>
    </row>
    <row r="567" spans="1:15" hidden="1" x14ac:dyDescent="0.25">
      <c r="A567" s="11" t="s">
        <v>21</v>
      </c>
      <c r="B567" s="11" t="s">
        <v>863</v>
      </c>
      <c r="C567" s="12" t="s">
        <v>1327</v>
      </c>
      <c r="D567" s="12" t="s">
        <v>1350</v>
      </c>
      <c r="E567" s="13">
        <v>1</v>
      </c>
      <c r="F567" s="111">
        <v>2408</v>
      </c>
      <c r="G567" s="13" t="s">
        <v>1351</v>
      </c>
      <c r="H567" s="14" t="s">
        <v>274</v>
      </c>
      <c r="I567" s="14" t="s">
        <v>1352</v>
      </c>
      <c r="J567" s="12" t="s">
        <v>559</v>
      </c>
      <c r="K567" s="15" t="s">
        <v>1353</v>
      </c>
      <c r="O567" s="11" t="s">
        <v>1354</v>
      </c>
    </row>
    <row r="568" spans="1:15" hidden="1" x14ac:dyDescent="0.25">
      <c r="A568" s="11" t="s">
        <v>134</v>
      </c>
      <c r="B568" s="11" t="s">
        <v>134</v>
      </c>
      <c r="C568" s="12" t="s">
        <v>134</v>
      </c>
      <c r="D568" s="12" t="s">
        <v>2</v>
      </c>
      <c r="E568" s="13" t="s">
        <v>2</v>
      </c>
      <c r="F568" s="111" t="s">
        <v>2</v>
      </c>
      <c r="G568" s="13" t="s">
        <v>2</v>
      </c>
      <c r="H568" s="14" t="s">
        <v>2</v>
      </c>
      <c r="I568" s="14" t="s">
        <v>21</v>
      </c>
      <c r="J568" s="12" t="s">
        <v>21</v>
      </c>
      <c r="K568" s="15" t="s">
        <v>21</v>
      </c>
      <c r="L568" s="16" t="s">
        <v>21</v>
      </c>
      <c r="M568" s="16" t="s">
        <v>21</v>
      </c>
      <c r="N568" s="58" t="s">
        <v>21</v>
      </c>
      <c r="O568" s="11" t="s">
        <v>21</v>
      </c>
    </row>
    <row r="569" spans="1:15" hidden="1" x14ac:dyDescent="0.25">
      <c r="A569" s="11" t="s">
        <v>21</v>
      </c>
      <c r="B569" s="11" t="s">
        <v>863</v>
      </c>
      <c r="C569" s="12" t="s">
        <v>1327</v>
      </c>
      <c r="D569" s="12" t="s">
        <v>1355</v>
      </c>
      <c r="E569" s="13">
        <v>1</v>
      </c>
      <c r="F569" s="111">
        <v>2408</v>
      </c>
      <c r="G569" s="13" t="s">
        <v>1356</v>
      </c>
      <c r="H569" s="14" t="s">
        <v>274</v>
      </c>
      <c r="I569" s="14" t="s">
        <v>1357</v>
      </c>
      <c r="J569" s="12" t="s">
        <v>559</v>
      </c>
      <c r="K569" s="15" t="s">
        <v>1358</v>
      </c>
      <c r="O569" s="11" t="s">
        <v>1359</v>
      </c>
    </row>
    <row r="570" spans="1:15" hidden="1" x14ac:dyDescent="0.25">
      <c r="A570" s="11" t="s">
        <v>134</v>
      </c>
      <c r="B570" s="11" t="s">
        <v>134</v>
      </c>
      <c r="C570" s="12" t="s">
        <v>134</v>
      </c>
      <c r="D570" s="12" t="s">
        <v>2</v>
      </c>
      <c r="E570" s="13" t="s">
        <v>2</v>
      </c>
      <c r="F570" s="111" t="s">
        <v>2</v>
      </c>
      <c r="G570" s="13" t="s">
        <v>2</v>
      </c>
      <c r="H570" s="14" t="s">
        <v>2</v>
      </c>
      <c r="I570" s="14" t="s">
        <v>21</v>
      </c>
      <c r="J570" s="12" t="s">
        <v>21</v>
      </c>
      <c r="K570" s="15" t="s">
        <v>21</v>
      </c>
      <c r="L570" s="16" t="s">
        <v>21</v>
      </c>
      <c r="M570" s="16" t="s">
        <v>21</v>
      </c>
      <c r="N570" s="58" t="s">
        <v>21</v>
      </c>
      <c r="O570" s="11" t="s">
        <v>23</v>
      </c>
    </row>
    <row r="571" spans="1:15" hidden="1" x14ac:dyDescent="0.25">
      <c r="A571" s="11" t="s">
        <v>21</v>
      </c>
      <c r="B571" s="11" t="s">
        <v>863</v>
      </c>
      <c r="C571" s="12" t="s">
        <v>1327</v>
      </c>
      <c r="D571" s="12" t="s">
        <v>1360</v>
      </c>
      <c r="E571" s="13">
        <v>1</v>
      </c>
      <c r="F571" s="111">
        <v>2408</v>
      </c>
      <c r="G571" s="13" t="s">
        <v>1368</v>
      </c>
      <c r="H571" s="14" t="s">
        <v>274</v>
      </c>
      <c r="I571" s="14" t="s">
        <v>1369</v>
      </c>
      <c r="J571" s="12" t="s">
        <v>559</v>
      </c>
      <c r="K571" s="15" t="s">
        <v>1370</v>
      </c>
      <c r="O571" s="11" t="s">
        <v>1364</v>
      </c>
    </row>
    <row r="572" spans="1:15" hidden="1" x14ac:dyDescent="0.25">
      <c r="A572" s="11" t="s">
        <v>134</v>
      </c>
      <c r="B572" s="11" t="s">
        <v>134</v>
      </c>
      <c r="C572" s="12" t="s">
        <v>134</v>
      </c>
      <c r="D572" s="12" t="s">
        <v>2</v>
      </c>
      <c r="E572" s="13" t="s">
        <v>2</v>
      </c>
      <c r="F572" s="111" t="s">
        <v>2</v>
      </c>
      <c r="G572" s="13" t="s">
        <v>2</v>
      </c>
      <c r="H572" s="14" t="s">
        <v>2</v>
      </c>
      <c r="I572" s="14" t="s">
        <v>21</v>
      </c>
      <c r="J572" s="12" t="s">
        <v>21</v>
      </c>
      <c r="K572" s="15" t="s">
        <v>21</v>
      </c>
      <c r="L572" s="16" t="s">
        <v>21</v>
      </c>
      <c r="M572" s="16" t="s">
        <v>21</v>
      </c>
      <c r="N572" s="58" t="s">
        <v>21</v>
      </c>
      <c r="O572" s="11" t="s">
        <v>23</v>
      </c>
    </row>
    <row r="573" spans="1:15" hidden="1" x14ac:dyDescent="0.25">
      <c r="A573" s="11" t="s">
        <v>21</v>
      </c>
      <c r="B573" s="11" t="s">
        <v>863</v>
      </c>
      <c r="C573" s="12" t="s">
        <v>1327</v>
      </c>
      <c r="D573" s="12" t="s">
        <v>1371</v>
      </c>
      <c r="E573" s="13">
        <v>1</v>
      </c>
      <c r="F573" s="111">
        <v>2408</v>
      </c>
      <c r="G573" s="13" t="s">
        <v>1372</v>
      </c>
      <c r="H573" s="14" t="s">
        <v>274</v>
      </c>
      <c r="I573" s="14" t="s">
        <v>1373</v>
      </c>
      <c r="J573" s="12" t="s">
        <v>559</v>
      </c>
      <c r="K573" s="15" t="s">
        <v>1374</v>
      </c>
      <c r="O573" s="11" t="s">
        <v>1375</v>
      </c>
    </row>
    <row r="574" spans="1:15" hidden="1" x14ac:dyDescent="0.25">
      <c r="A574" s="11" t="s">
        <v>134</v>
      </c>
      <c r="B574" s="11" t="s">
        <v>134</v>
      </c>
      <c r="C574" s="12" t="s">
        <v>23</v>
      </c>
      <c r="D574" s="12" t="s">
        <v>2</v>
      </c>
      <c r="E574" s="13" t="s">
        <v>2</v>
      </c>
      <c r="F574" s="111" t="s">
        <v>2</v>
      </c>
      <c r="G574" s="13" t="s">
        <v>2</v>
      </c>
      <c r="H574" s="14" t="s">
        <v>2</v>
      </c>
      <c r="I574" s="14" t="s">
        <v>21</v>
      </c>
      <c r="J574" s="12" t="s">
        <v>21</v>
      </c>
      <c r="K574" s="15" t="s">
        <v>21</v>
      </c>
      <c r="L574" s="16" t="s">
        <v>23</v>
      </c>
      <c r="M574" s="16" t="s">
        <v>21</v>
      </c>
      <c r="N574" s="58" t="s">
        <v>21</v>
      </c>
      <c r="O574" s="11" t="s">
        <v>23</v>
      </c>
    </row>
    <row r="575" spans="1:15" hidden="1" x14ac:dyDescent="0.25">
      <c r="A575" s="11" t="s">
        <v>21</v>
      </c>
      <c r="B575" s="11" t="s">
        <v>863</v>
      </c>
      <c r="C575" s="12" t="s">
        <v>1327</v>
      </c>
      <c r="D575" s="12" t="s">
        <v>1376</v>
      </c>
      <c r="E575" s="13">
        <v>1</v>
      </c>
      <c r="F575" s="111">
        <v>2408</v>
      </c>
      <c r="G575" s="13" t="s">
        <v>1377</v>
      </c>
      <c r="H575" s="14" t="s">
        <v>274</v>
      </c>
      <c r="I575" s="14" t="s">
        <v>1378</v>
      </c>
      <c r="J575" s="12" t="s">
        <v>559</v>
      </c>
      <c r="K575" s="15" t="s">
        <v>1379</v>
      </c>
      <c r="O575" s="11" t="s">
        <v>1380</v>
      </c>
    </row>
    <row r="576" spans="1:15" hidden="1" x14ac:dyDescent="0.25">
      <c r="A576" s="11" t="s">
        <v>134</v>
      </c>
      <c r="B576" s="11" t="s">
        <v>134</v>
      </c>
      <c r="C576" s="12" t="s">
        <v>2</v>
      </c>
      <c r="D576" s="12" t="s">
        <v>2</v>
      </c>
      <c r="E576" s="13" t="s">
        <v>2</v>
      </c>
      <c r="F576" s="111" t="s">
        <v>2</v>
      </c>
      <c r="G576" s="13" t="s">
        <v>2</v>
      </c>
      <c r="H576" s="14" t="s">
        <v>2</v>
      </c>
      <c r="I576" s="14" t="s">
        <v>21</v>
      </c>
      <c r="J576" s="12" t="s">
        <v>21</v>
      </c>
      <c r="K576" s="15" t="s">
        <v>21</v>
      </c>
      <c r="L576" s="16" t="s">
        <v>21</v>
      </c>
      <c r="M576" s="16" t="s">
        <v>23</v>
      </c>
      <c r="N576" s="58" t="s">
        <v>21</v>
      </c>
      <c r="O576" s="11" t="s">
        <v>23</v>
      </c>
    </row>
    <row r="577" spans="1:15" hidden="1" x14ac:dyDescent="0.25">
      <c r="A577" s="11" t="s">
        <v>21</v>
      </c>
      <c r="B577" s="11" t="s">
        <v>863</v>
      </c>
      <c r="C577" s="12" t="s">
        <v>1327</v>
      </c>
      <c r="D577" s="12" t="s">
        <v>1381</v>
      </c>
      <c r="E577" s="13">
        <v>1</v>
      </c>
      <c r="F577" s="111">
        <v>2408</v>
      </c>
      <c r="G577" s="13" t="s">
        <v>1382</v>
      </c>
      <c r="H577" s="14" t="s">
        <v>274</v>
      </c>
      <c r="I577" s="14" t="s">
        <v>1383</v>
      </c>
      <c r="J577" s="12" t="s">
        <v>559</v>
      </c>
      <c r="K577" s="15" t="s">
        <v>1384</v>
      </c>
      <c r="O577" s="11" t="s">
        <v>1385</v>
      </c>
    </row>
    <row r="578" spans="1:15" hidden="1" x14ac:dyDescent="0.25">
      <c r="A578" s="11" t="s">
        <v>134</v>
      </c>
      <c r="B578" s="11" t="s">
        <v>134</v>
      </c>
      <c r="C578" s="12" t="s">
        <v>2</v>
      </c>
      <c r="D578" s="12" t="s">
        <v>2</v>
      </c>
      <c r="E578" s="13" t="s">
        <v>2</v>
      </c>
      <c r="F578" s="111" t="s">
        <v>2</v>
      </c>
      <c r="G578" s="13" t="s">
        <v>2</v>
      </c>
      <c r="H578" s="14" t="s">
        <v>2</v>
      </c>
      <c r="I578" s="14" t="s">
        <v>21</v>
      </c>
      <c r="J578" s="12" t="s">
        <v>21</v>
      </c>
      <c r="K578" s="15" t="s">
        <v>21</v>
      </c>
      <c r="L578" s="16" t="s">
        <v>23</v>
      </c>
      <c r="M578" s="16" t="s">
        <v>23</v>
      </c>
      <c r="N578" s="58" t="s">
        <v>21</v>
      </c>
      <c r="O578" s="11" t="s">
        <v>21</v>
      </c>
    </row>
    <row r="579" spans="1:15" hidden="1" x14ac:dyDescent="0.25">
      <c r="A579" s="11" t="s">
        <v>21</v>
      </c>
      <c r="B579" s="11" t="s">
        <v>863</v>
      </c>
      <c r="C579" s="12" t="s">
        <v>1327</v>
      </c>
      <c r="D579" s="12" t="s">
        <v>1386</v>
      </c>
      <c r="E579" s="13">
        <v>1</v>
      </c>
      <c r="F579" s="111">
        <v>2408</v>
      </c>
      <c r="G579" s="13" t="s">
        <v>1387</v>
      </c>
      <c r="H579" s="14" t="s">
        <v>274</v>
      </c>
      <c r="I579" s="14" t="s">
        <v>1388</v>
      </c>
      <c r="J579" s="12" t="s">
        <v>559</v>
      </c>
      <c r="K579" s="15" t="s">
        <v>1389</v>
      </c>
      <c r="O579" s="11" t="s">
        <v>1390</v>
      </c>
    </row>
    <row r="580" spans="1:15" hidden="1" x14ac:dyDescent="0.25">
      <c r="A580" s="11" t="s">
        <v>134</v>
      </c>
      <c r="B580" s="11" t="s">
        <v>134</v>
      </c>
      <c r="C580" s="12" t="s">
        <v>2</v>
      </c>
      <c r="D580" s="12" t="s">
        <v>2</v>
      </c>
      <c r="E580" s="13" t="s">
        <v>2</v>
      </c>
      <c r="F580" s="111" t="s">
        <v>2</v>
      </c>
      <c r="G580" s="13" t="s">
        <v>2</v>
      </c>
      <c r="H580" s="14" t="s">
        <v>2</v>
      </c>
      <c r="I580" s="14" t="s">
        <v>23</v>
      </c>
      <c r="J580" s="12" t="s">
        <v>21</v>
      </c>
      <c r="K580" s="15" t="s">
        <v>21</v>
      </c>
      <c r="L580" s="16" t="s">
        <v>21</v>
      </c>
      <c r="M580" s="16" t="s">
        <v>21</v>
      </c>
      <c r="N580" s="58" t="s">
        <v>21</v>
      </c>
      <c r="O580" s="11" t="s">
        <v>21</v>
      </c>
    </row>
    <row r="581" spans="1:15" hidden="1" x14ac:dyDescent="0.25">
      <c r="A581" s="11" t="s">
        <v>21</v>
      </c>
      <c r="B581" s="11" t="s">
        <v>863</v>
      </c>
      <c r="C581" s="12" t="s">
        <v>1327</v>
      </c>
      <c r="D581" s="12" t="s">
        <v>1360</v>
      </c>
      <c r="E581" s="13">
        <v>2</v>
      </c>
      <c r="F581" s="111">
        <v>2408</v>
      </c>
      <c r="G581" s="13" t="s">
        <v>1361</v>
      </c>
      <c r="H581" s="14" t="s">
        <v>274</v>
      </c>
      <c r="I581" s="14" t="s">
        <v>1362</v>
      </c>
      <c r="J581" s="12" t="s">
        <v>559</v>
      </c>
      <c r="K581" s="15" t="s">
        <v>1363</v>
      </c>
      <c r="O581" s="11" t="s">
        <v>1364</v>
      </c>
    </row>
    <row r="582" spans="1:15" hidden="1" x14ac:dyDescent="0.25">
      <c r="A582" s="11" t="s">
        <v>134</v>
      </c>
      <c r="B582" s="11" t="s">
        <v>134</v>
      </c>
      <c r="C582" s="12" t="s">
        <v>2</v>
      </c>
      <c r="D582" s="12" t="s">
        <v>2</v>
      </c>
      <c r="E582" s="13" t="s">
        <v>2</v>
      </c>
      <c r="F582" s="111" t="s">
        <v>2</v>
      </c>
      <c r="G582" s="13" t="s">
        <v>2</v>
      </c>
      <c r="H582" s="14" t="s">
        <v>21</v>
      </c>
      <c r="I582" s="14" t="s">
        <v>21</v>
      </c>
      <c r="J582" s="12" t="s">
        <v>21</v>
      </c>
      <c r="K582" s="15" t="s">
        <v>21</v>
      </c>
      <c r="L582" s="16" t="s">
        <v>21</v>
      </c>
      <c r="M582" s="16" t="s">
        <v>21</v>
      </c>
      <c r="N582" s="58" t="s">
        <v>21</v>
      </c>
      <c r="O582" s="11" t="s">
        <v>21</v>
      </c>
    </row>
    <row r="583" spans="1:15" hidden="1" x14ac:dyDescent="0.25">
      <c r="A583" s="11" t="s">
        <v>21</v>
      </c>
      <c r="B583" s="11" t="s">
        <v>863</v>
      </c>
      <c r="C583" s="12" t="s">
        <v>1327</v>
      </c>
      <c r="D583" s="12" t="s">
        <v>1360</v>
      </c>
      <c r="E583" s="13">
        <v>3</v>
      </c>
      <c r="F583" s="111">
        <v>2408</v>
      </c>
      <c r="G583" s="13" t="s">
        <v>1365</v>
      </c>
      <c r="H583" s="14" t="s">
        <v>274</v>
      </c>
      <c r="I583" s="14" t="s">
        <v>1366</v>
      </c>
      <c r="J583" s="12" t="s">
        <v>559</v>
      </c>
      <c r="K583" s="15" t="s">
        <v>1367</v>
      </c>
      <c r="O583" s="11" t="s">
        <v>1364</v>
      </c>
    </row>
    <row r="584" spans="1:15" hidden="1" x14ac:dyDescent="0.25">
      <c r="A584" s="11" t="s">
        <v>134</v>
      </c>
      <c r="B584" s="11" t="s">
        <v>134</v>
      </c>
      <c r="C584" s="12" t="s">
        <v>2</v>
      </c>
      <c r="D584" s="12" t="s">
        <v>2</v>
      </c>
      <c r="E584" s="13" t="s">
        <v>2</v>
      </c>
      <c r="F584" s="111" t="s">
        <v>2</v>
      </c>
      <c r="G584" s="13" t="s">
        <v>2</v>
      </c>
      <c r="H584" s="14" t="s">
        <v>21</v>
      </c>
      <c r="I584" s="14" t="s">
        <v>21</v>
      </c>
      <c r="J584" s="12" t="s">
        <v>23</v>
      </c>
      <c r="K584" s="15" t="s">
        <v>21</v>
      </c>
      <c r="L584" s="16" t="s">
        <v>23</v>
      </c>
      <c r="M584" s="16" t="s">
        <v>21</v>
      </c>
      <c r="N584" s="58" t="s">
        <v>21</v>
      </c>
      <c r="O584" s="11" t="s">
        <v>23</v>
      </c>
    </row>
    <row r="585" spans="1:15" hidden="1" x14ac:dyDescent="0.25">
      <c r="A585" s="11" t="s">
        <v>21</v>
      </c>
      <c r="B585" s="11" t="s">
        <v>863</v>
      </c>
      <c r="C585" s="12" t="s">
        <v>1327</v>
      </c>
      <c r="D585" s="12" t="s">
        <v>1399</v>
      </c>
      <c r="E585" s="13">
        <v>1</v>
      </c>
      <c r="F585" s="111">
        <v>2409</v>
      </c>
      <c r="G585" s="13" t="s">
        <v>1404</v>
      </c>
      <c r="H585" s="14" t="s">
        <v>274</v>
      </c>
      <c r="I585" s="14" t="s">
        <v>1405</v>
      </c>
      <c r="J585" s="12" t="s">
        <v>559</v>
      </c>
      <c r="K585" s="15" t="s">
        <v>1406</v>
      </c>
      <c r="O585" s="11" t="s">
        <v>1403</v>
      </c>
    </row>
    <row r="586" spans="1:15" hidden="1" x14ac:dyDescent="0.25">
      <c r="A586" s="11" t="s">
        <v>134</v>
      </c>
      <c r="B586" s="11" t="s">
        <v>134</v>
      </c>
      <c r="C586" s="12" t="s">
        <v>2</v>
      </c>
      <c r="D586" s="12" t="s">
        <v>2</v>
      </c>
      <c r="E586" s="13" t="s">
        <v>2</v>
      </c>
      <c r="F586" s="111" t="s">
        <v>2</v>
      </c>
      <c r="G586" s="13" t="s">
        <v>2</v>
      </c>
      <c r="H586" s="14" t="s">
        <v>21</v>
      </c>
      <c r="I586" s="14" t="s">
        <v>21</v>
      </c>
      <c r="J586" s="12" t="s">
        <v>23</v>
      </c>
      <c r="K586" s="15" t="s">
        <v>21</v>
      </c>
      <c r="L586" s="16" t="s">
        <v>21</v>
      </c>
      <c r="M586" s="16" t="s">
        <v>21</v>
      </c>
      <c r="N586" s="58" t="s">
        <v>21</v>
      </c>
      <c r="O586" s="11" t="s">
        <v>21</v>
      </c>
    </row>
    <row r="587" spans="1:15" hidden="1" x14ac:dyDescent="0.25">
      <c r="A587" s="11" t="s">
        <v>21</v>
      </c>
      <c r="B587" s="11" t="s">
        <v>863</v>
      </c>
      <c r="C587" s="12" t="s">
        <v>1327</v>
      </c>
      <c r="D587" s="12" t="s">
        <v>1328</v>
      </c>
      <c r="E587" s="13">
        <v>1</v>
      </c>
      <c r="F587" s="111">
        <v>2409</v>
      </c>
      <c r="G587" s="13" t="s">
        <v>1411</v>
      </c>
      <c r="H587" s="14" t="s">
        <v>274</v>
      </c>
      <c r="I587" s="14" t="s">
        <v>1412</v>
      </c>
      <c r="J587" s="12" t="s">
        <v>559</v>
      </c>
      <c r="K587" s="15" t="s">
        <v>1413</v>
      </c>
      <c r="O587" s="11" t="s">
        <v>1410</v>
      </c>
    </row>
    <row r="588" spans="1:15" hidden="1" x14ac:dyDescent="0.25">
      <c r="A588" s="11" t="s">
        <v>134</v>
      </c>
      <c r="B588" s="11" t="s">
        <v>134</v>
      </c>
      <c r="C588" s="12" t="s">
        <v>134</v>
      </c>
      <c r="D588" s="12" t="s">
        <v>2</v>
      </c>
      <c r="E588" s="13" t="s">
        <v>2</v>
      </c>
      <c r="F588" s="111" t="s">
        <v>2</v>
      </c>
      <c r="G588" s="13" t="s">
        <v>2</v>
      </c>
      <c r="H588" s="14" t="s">
        <v>2</v>
      </c>
      <c r="I588" s="14" t="s">
        <v>21</v>
      </c>
      <c r="J588" s="12" t="s">
        <v>21</v>
      </c>
      <c r="K588" s="15" t="s">
        <v>21</v>
      </c>
      <c r="L588" s="16" t="s">
        <v>21</v>
      </c>
      <c r="M588" s="16" t="s">
        <v>23</v>
      </c>
      <c r="N588" s="58" t="s">
        <v>21</v>
      </c>
      <c r="O588" s="11" t="s">
        <v>23</v>
      </c>
    </row>
    <row r="589" spans="1:15" hidden="1" x14ac:dyDescent="0.25">
      <c r="A589" s="11" t="s">
        <v>21</v>
      </c>
      <c r="B589" s="11" t="s">
        <v>863</v>
      </c>
      <c r="C589" s="12" t="s">
        <v>1327</v>
      </c>
      <c r="D589" s="12" t="s">
        <v>1414</v>
      </c>
      <c r="E589" s="13">
        <v>1</v>
      </c>
      <c r="F589" s="111">
        <v>2409</v>
      </c>
      <c r="G589" s="13" t="s">
        <v>1519</v>
      </c>
      <c r="H589" s="14" t="s">
        <v>274</v>
      </c>
      <c r="I589" s="14" t="s">
        <v>1520</v>
      </c>
      <c r="J589" s="12" t="s">
        <v>559</v>
      </c>
      <c r="K589" s="15" t="s">
        <v>1521</v>
      </c>
      <c r="O589" s="11" t="s">
        <v>1418</v>
      </c>
    </row>
    <row r="590" spans="1:15" hidden="1" x14ac:dyDescent="0.25">
      <c r="A590" s="11" t="s">
        <v>134</v>
      </c>
      <c r="B590" s="11" t="s">
        <v>134</v>
      </c>
      <c r="C590" s="12" t="s">
        <v>134</v>
      </c>
      <c r="D590" s="12" t="s">
        <v>2</v>
      </c>
      <c r="E590" s="13" t="s">
        <v>2</v>
      </c>
      <c r="F590" s="111" t="s">
        <v>2</v>
      </c>
      <c r="G590" s="13" t="s">
        <v>2</v>
      </c>
      <c r="H590" s="14" t="s">
        <v>2</v>
      </c>
      <c r="I590" s="14" t="s">
        <v>21</v>
      </c>
      <c r="J590" s="12" t="s">
        <v>21</v>
      </c>
      <c r="K590" s="15" t="s">
        <v>21</v>
      </c>
      <c r="L590" s="16" t="s">
        <v>21</v>
      </c>
      <c r="M590" s="16" t="s">
        <v>21</v>
      </c>
      <c r="N590" s="58" t="s">
        <v>21</v>
      </c>
      <c r="O590" s="11" t="s">
        <v>21</v>
      </c>
    </row>
    <row r="591" spans="1:15" hidden="1" x14ac:dyDescent="0.25">
      <c r="A591" s="11" t="s">
        <v>21</v>
      </c>
      <c r="B591" s="11" t="s">
        <v>863</v>
      </c>
      <c r="C591" s="12" t="s">
        <v>1327</v>
      </c>
      <c r="D591" s="12" t="s">
        <v>1399</v>
      </c>
      <c r="E591" s="13">
        <v>2</v>
      </c>
      <c r="F591" s="111">
        <v>2409</v>
      </c>
      <c r="G591" s="13" t="s">
        <v>1400</v>
      </c>
      <c r="H591" s="14" t="s">
        <v>274</v>
      </c>
      <c r="I591" s="14" t="s">
        <v>1401</v>
      </c>
      <c r="J591" s="12" t="s">
        <v>559</v>
      </c>
      <c r="K591" s="15" t="s">
        <v>1402</v>
      </c>
      <c r="O591" s="11" t="s">
        <v>1403</v>
      </c>
    </row>
    <row r="592" spans="1:15" hidden="1" x14ac:dyDescent="0.25">
      <c r="A592" s="11" t="s">
        <v>134</v>
      </c>
      <c r="B592" s="11" t="s">
        <v>134</v>
      </c>
      <c r="C592" s="12" t="s">
        <v>134</v>
      </c>
      <c r="D592" s="12" t="s">
        <v>2</v>
      </c>
      <c r="E592" s="13" t="s">
        <v>2</v>
      </c>
      <c r="F592" s="111" t="s">
        <v>2</v>
      </c>
      <c r="G592" s="13" t="s">
        <v>2</v>
      </c>
      <c r="H592" s="14" t="s">
        <v>2</v>
      </c>
      <c r="I592" s="14" t="s">
        <v>21</v>
      </c>
      <c r="J592" s="12" t="s">
        <v>21</v>
      </c>
      <c r="K592" s="15" t="s">
        <v>21</v>
      </c>
      <c r="L592" s="16" t="s">
        <v>21</v>
      </c>
      <c r="M592" s="16" t="s">
        <v>21</v>
      </c>
      <c r="N592" s="58" t="s">
        <v>21</v>
      </c>
      <c r="O592" s="11" t="s">
        <v>23</v>
      </c>
    </row>
    <row r="593" spans="1:15" hidden="1" x14ac:dyDescent="0.25">
      <c r="A593" s="11" t="s">
        <v>21</v>
      </c>
      <c r="B593" s="11" t="s">
        <v>863</v>
      </c>
      <c r="C593" s="12" t="s">
        <v>1327</v>
      </c>
      <c r="D593" s="12" t="s">
        <v>1328</v>
      </c>
      <c r="E593" s="13">
        <v>2</v>
      </c>
      <c r="F593" s="111">
        <v>2409</v>
      </c>
      <c r="G593" s="13" t="s">
        <v>1407</v>
      </c>
      <c r="H593" s="14" t="s">
        <v>274</v>
      </c>
      <c r="I593" s="14" t="s">
        <v>1408</v>
      </c>
      <c r="J593" s="12" t="s">
        <v>559</v>
      </c>
      <c r="K593" s="15" t="s">
        <v>1409</v>
      </c>
      <c r="O593" s="11" t="s">
        <v>1410</v>
      </c>
    </row>
    <row r="594" spans="1:15" hidden="1" x14ac:dyDescent="0.25">
      <c r="A594" s="11" t="s">
        <v>134</v>
      </c>
      <c r="B594" s="11" t="s">
        <v>134</v>
      </c>
      <c r="C594" s="12" t="s">
        <v>134</v>
      </c>
      <c r="D594" s="12" t="s">
        <v>2</v>
      </c>
      <c r="E594" s="13" t="s">
        <v>2</v>
      </c>
      <c r="F594" s="111" t="s">
        <v>2</v>
      </c>
      <c r="G594" s="13" t="s">
        <v>2</v>
      </c>
      <c r="H594" s="14" t="s">
        <v>2</v>
      </c>
      <c r="I594" s="14" t="s">
        <v>21</v>
      </c>
      <c r="J594" s="12" t="s">
        <v>21</v>
      </c>
      <c r="K594" s="15" t="s">
        <v>21</v>
      </c>
      <c r="L594" s="16" t="s">
        <v>21</v>
      </c>
      <c r="M594" s="16" t="s">
        <v>21</v>
      </c>
      <c r="N594" s="58" t="s">
        <v>21</v>
      </c>
      <c r="O594" s="11" t="s">
        <v>23</v>
      </c>
    </row>
    <row r="595" spans="1:15" hidden="1" x14ac:dyDescent="0.25">
      <c r="A595" s="11" t="s">
        <v>21</v>
      </c>
      <c r="B595" s="11" t="s">
        <v>863</v>
      </c>
      <c r="C595" s="12" t="s">
        <v>1327</v>
      </c>
      <c r="D595" s="12" t="s">
        <v>1414</v>
      </c>
      <c r="E595" s="13">
        <v>2</v>
      </c>
      <c r="F595" s="111">
        <v>2409</v>
      </c>
      <c r="G595" s="13" t="s">
        <v>1415</v>
      </c>
      <c r="H595" s="14" t="s">
        <v>274</v>
      </c>
      <c r="I595" s="14" t="s">
        <v>1416</v>
      </c>
      <c r="J595" s="12" t="s">
        <v>559</v>
      </c>
      <c r="K595" s="15" t="s">
        <v>1417</v>
      </c>
      <c r="O595" s="11" t="s">
        <v>1418</v>
      </c>
    </row>
    <row r="596" spans="1:15" hidden="1" x14ac:dyDescent="0.25">
      <c r="A596" s="11" t="s">
        <v>134</v>
      </c>
      <c r="B596" s="11" t="s">
        <v>134</v>
      </c>
      <c r="C596" s="12" t="s">
        <v>23</v>
      </c>
      <c r="D596" s="12" t="s">
        <v>2</v>
      </c>
      <c r="E596" s="13" t="s">
        <v>2</v>
      </c>
      <c r="F596" s="111" t="s">
        <v>2</v>
      </c>
      <c r="G596" s="13" t="s">
        <v>2</v>
      </c>
      <c r="H596" s="14" t="s">
        <v>2</v>
      </c>
      <c r="I596" s="14" t="s">
        <v>21</v>
      </c>
      <c r="J596" s="12" t="s">
        <v>21</v>
      </c>
      <c r="K596" s="15" t="s">
        <v>21</v>
      </c>
      <c r="L596" s="16" t="s">
        <v>23</v>
      </c>
      <c r="M596" s="16" t="s">
        <v>21</v>
      </c>
      <c r="N596" s="58" t="s">
        <v>21</v>
      </c>
      <c r="O596" s="11" t="s">
        <v>23</v>
      </c>
    </row>
    <row r="597" spans="1:15" hidden="1" x14ac:dyDescent="0.25">
      <c r="A597" s="11" t="s">
        <v>2</v>
      </c>
      <c r="D597" s="12" t="s">
        <v>284</v>
      </c>
      <c r="G597" s="13" t="s">
        <v>285</v>
      </c>
      <c r="H597" s="14" t="s">
        <v>283</v>
      </c>
      <c r="I597" s="14" t="s">
        <v>286</v>
      </c>
      <c r="K597" s="15" t="s">
        <v>287</v>
      </c>
      <c r="O597" s="11" t="s">
        <v>3263</v>
      </c>
    </row>
    <row r="598" spans="1:15" hidden="1" x14ac:dyDescent="0.25">
      <c r="A598" s="11" t="s">
        <v>2</v>
      </c>
      <c r="D598" s="12" t="s">
        <v>288</v>
      </c>
      <c r="G598" s="13" t="s">
        <v>289</v>
      </c>
      <c r="H598" s="14" t="s">
        <v>283</v>
      </c>
      <c r="I598" s="14" t="s">
        <v>290</v>
      </c>
      <c r="K598" s="15" t="s">
        <v>291</v>
      </c>
      <c r="O598" s="11" t="s">
        <v>3263</v>
      </c>
    </row>
    <row r="599" spans="1:15" hidden="1" x14ac:dyDescent="0.25">
      <c r="A599" s="11" t="s">
        <v>134</v>
      </c>
      <c r="B599" s="11" t="s">
        <v>134</v>
      </c>
      <c r="C599" s="12" t="s">
        <v>2</v>
      </c>
      <c r="D599" s="12" t="s">
        <v>2</v>
      </c>
      <c r="E599" s="13" t="s">
        <v>2</v>
      </c>
      <c r="F599" s="111" t="s">
        <v>2</v>
      </c>
      <c r="G599" s="13" t="s">
        <v>2</v>
      </c>
      <c r="H599" s="14" t="s">
        <v>2</v>
      </c>
      <c r="I599" s="14" t="s">
        <v>21</v>
      </c>
      <c r="J599" s="12" t="s">
        <v>21</v>
      </c>
      <c r="K599" s="15" t="s">
        <v>21</v>
      </c>
      <c r="L599" s="16" t="s">
        <v>21</v>
      </c>
      <c r="M599" s="16" t="s">
        <v>23</v>
      </c>
      <c r="N599" s="58" t="s">
        <v>21</v>
      </c>
      <c r="O599" s="11" t="s">
        <v>23</v>
      </c>
    </row>
    <row r="600" spans="1:15" hidden="1" x14ac:dyDescent="0.25">
      <c r="A600" s="11" t="s">
        <v>2</v>
      </c>
      <c r="D600" s="12" t="s">
        <v>292</v>
      </c>
      <c r="G600" s="13" t="s">
        <v>293</v>
      </c>
      <c r="H600" s="14" t="s">
        <v>283</v>
      </c>
      <c r="I600" s="14" t="s">
        <v>294</v>
      </c>
      <c r="K600" s="15" t="s">
        <v>295</v>
      </c>
      <c r="O600" s="11" t="s">
        <v>3263</v>
      </c>
    </row>
    <row r="601" spans="1:15" hidden="1" x14ac:dyDescent="0.25">
      <c r="A601" s="11" t="s">
        <v>23</v>
      </c>
      <c r="B601" s="11" t="s">
        <v>863</v>
      </c>
      <c r="C601" s="12" t="s">
        <v>1138</v>
      </c>
      <c r="D601" s="12" t="s">
        <v>1317</v>
      </c>
      <c r="E601" s="13">
        <v>1</v>
      </c>
      <c r="F601" s="111">
        <v>2511</v>
      </c>
      <c r="G601" s="13" t="s">
        <v>1318</v>
      </c>
      <c r="H601" s="14" t="s">
        <v>274</v>
      </c>
      <c r="I601" s="14" t="s">
        <v>1319</v>
      </c>
      <c r="J601" s="12" t="s">
        <v>661</v>
      </c>
      <c r="K601" s="15" t="s">
        <v>1320</v>
      </c>
      <c r="O601" s="11" t="s">
        <v>1321</v>
      </c>
    </row>
    <row r="602" spans="1:15" hidden="1" x14ac:dyDescent="0.25">
      <c r="A602" s="11" t="s">
        <v>0</v>
      </c>
      <c r="B602" s="11" t="s">
        <v>863</v>
      </c>
      <c r="C602" s="12" t="s">
        <v>1138</v>
      </c>
      <c r="D602" s="12" t="s">
        <v>1636</v>
      </c>
      <c r="E602" s="13">
        <v>1</v>
      </c>
      <c r="F602" s="111">
        <v>2511</v>
      </c>
      <c r="G602" s="13" t="s">
        <v>1768</v>
      </c>
      <c r="H602" s="14" t="s">
        <v>274</v>
      </c>
      <c r="I602" s="14" t="s">
        <v>1769</v>
      </c>
      <c r="J602" s="12" t="s">
        <v>661</v>
      </c>
      <c r="K602" s="15" t="s">
        <v>1770</v>
      </c>
      <c r="O602" s="11" t="s">
        <v>1771</v>
      </c>
    </row>
    <row r="603" spans="1:15" hidden="1" x14ac:dyDescent="0.25">
      <c r="A603" s="11" t="s">
        <v>0</v>
      </c>
      <c r="B603" s="11" t="s">
        <v>863</v>
      </c>
      <c r="C603" s="12" t="s">
        <v>1138</v>
      </c>
      <c r="D603" s="12" t="s">
        <v>1322</v>
      </c>
      <c r="E603" s="13">
        <v>1</v>
      </c>
      <c r="F603" s="111">
        <v>2511</v>
      </c>
      <c r="G603" s="13" t="s">
        <v>1772</v>
      </c>
      <c r="H603" s="14" t="s">
        <v>274</v>
      </c>
      <c r="I603" s="14" t="s">
        <v>1773</v>
      </c>
      <c r="J603" s="12" t="s">
        <v>661</v>
      </c>
      <c r="K603" s="15" t="s">
        <v>1774</v>
      </c>
      <c r="O603" s="11" t="s">
        <v>1326</v>
      </c>
    </row>
    <row r="604" spans="1:15" hidden="1" x14ac:dyDescent="0.25">
      <c r="A604" s="11" t="s">
        <v>0</v>
      </c>
      <c r="B604" s="11" t="s">
        <v>863</v>
      </c>
      <c r="C604" s="12" t="s">
        <v>1138</v>
      </c>
      <c r="D604" s="12" t="s">
        <v>1322</v>
      </c>
      <c r="E604" s="13">
        <v>2</v>
      </c>
      <c r="F604" s="111">
        <v>2511</v>
      </c>
      <c r="G604" s="13" t="s">
        <v>1323</v>
      </c>
      <c r="H604" s="14" t="s">
        <v>274</v>
      </c>
      <c r="I604" s="14" t="s">
        <v>1324</v>
      </c>
      <c r="J604" s="12" t="s">
        <v>661</v>
      </c>
      <c r="K604" s="15" t="s">
        <v>1325</v>
      </c>
      <c r="O604" s="11" t="s">
        <v>1326</v>
      </c>
    </row>
    <row r="605" spans="1:15" hidden="1" x14ac:dyDescent="0.25">
      <c r="A605" s="11" t="s">
        <v>0</v>
      </c>
      <c r="B605" s="11" t="s">
        <v>863</v>
      </c>
      <c r="C605" s="12" t="s">
        <v>1138</v>
      </c>
      <c r="D605" s="12" t="s">
        <v>1696</v>
      </c>
      <c r="E605" s="13">
        <v>1</v>
      </c>
      <c r="F605" s="111">
        <v>2512</v>
      </c>
      <c r="G605" s="13" t="s">
        <v>1697</v>
      </c>
      <c r="H605" s="14" t="s">
        <v>274</v>
      </c>
      <c r="I605" s="14" t="s">
        <v>1698</v>
      </c>
      <c r="J605" s="12" t="s">
        <v>559</v>
      </c>
      <c r="K605" s="15" t="s">
        <v>1699</v>
      </c>
      <c r="O605" s="11" t="s">
        <v>1700</v>
      </c>
    </row>
    <row r="606" spans="1:15" hidden="1" x14ac:dyDescent="0.25">
      <c r="A606" s="11" t="s">
        <v>4</v>
      </c>
      <c r="B606" s="11" t="s">
        <v>863</v>
      </c>
      <c r="C606" s="12" t="s">
        <v>1138</v>
      </c>
      <c r="D606" s="12" t="s">
        <v>1701</v>
      </c>
      <c r="E606" s="13">
        <v>1</v>
      </c>
      <c r="F606" s="111">
        <v>2512</v>
      </c>
      <c r="G606" s="13" t="s">
        <v>1702</v>
      </c>
      <c r="H606" s="14" t="s">
        <v>274</v>
      </c>
      <c r="I606" s="14" t="s">
        <v>1703</v>
      </c>
      <c r="J606" s="12" t="s">
        <v>661</v>
      </c>
      <c r="K606" s="15" t="s">
        <v>1704</v>
      </c>
      <c r="O606" s="11" t="s">
        <v>1705</v>
      </c>
    </row>
    <row r="607" spans="1:15" hidden="1" x14ac:dyDescent="0.25">
      <c r="A607" s="11" t="s">
        <v>4</v>
      </c>
      <c r="B607" s="11" t="s">
        <v>863</v>
      </c>
      <c r="C607" s="12" t="s">
        <v>1138</v>
      </c>
      <c r="D607" s="12" t="s">
        <v>1706</v>
      </c>
      <c r="E607" s="13">
        <v>1</v>
      </c>
      <c r="F607" s="111">
        <v>2512</v>
      </c>
      <c r="G607" s="13" t="s">
        <v>1707</v>
      </c>
      <c r="H607" s="14" t="s">
        <v>274</v>
      </c>
      <c r="I607" s="14" t="s">
        <v>1708</v>
      </c>
      <c r="J607" s="12" t="s">
        <v>661</v>
      </c>
      <c r="K607" s="15" t="s">
        <v>1709</v>
      </c>
      <c r="O607" s="11" t="s">
        <v>1710</v>
      </c>
    </row>
    <row r="608" spans="1:15" hidden="1" x14ac:dyDescent="0.25">
      <c r="A608" s="11" t="s">
        <v>4</v>
      </c>
      <c r="B608" s="11" t="s">
        <v>863</v>
      </c>
      <c r="C608" s="12" t="s">
        <v>1138</v>
      </c>
      <c r="D608" s="12" t="s">
        <v>1711</v>
      </c>
      <c r="E608" s="13">
        <v>1</v>
      </c>
      <c r="F608" s="111">
        <v>2512</v>
      </c>
      <c r="G608" s="13" t="s">
        <v>1712</v>
      </c>
      <c r="H608" s="14" t="s">
        <v>274</v>
      </c>
      <c r="I608" s="14" t="s">
        <v>1713</v>
      </c>
      <c r="J608" s="12" t="s">
        <v>559</v>
      </c>
      <c r="K608" s="15" t="s">
        <v>1714</v>
      </c>
      <c r="O608" s="11" t="s">
        <v>1715</v>
      </c>
    </row>
    <row r="609" spans="1:15" hidden="1" x14ac:dyDescent="0.25">
      <c r="A609" s="11" t="s">
        <v>4</v>
      </c>
      <c r="B609" s="11" t="s">
        <v>863</v>
      </c>
      <c r="C609" s="12" t="s">
        <v>1138</v>
      </c>
      <c r="D609" s="12" t="s">
        <v>1716</v>
      </c>
      <c r="E609" s="13">
        <v>1</v>
      </c>
      <c r="F609" s="111">
        <v>2512</v>
      </c>
      <c r="G609" s="13" t="s">
        <v>1717</v>
      </c>
      <c r="H609" s="14" t="s">
        <v>274</v>
      </c>
      <c r="I609" s="14" t="s">
        <v>1718</v>
      </c>
      <c r="J609" s="12" t="s">
        <v>661</v>
      </c>
      <c r="K609" s="15" t="s">
        <v>1719</v>
      </c>
      <c r="O609" s="11" t="s">
        <v>1720</v>
      </c>
    </row>
    <row r="610" spans="1:15" hidden="1" x14ac:dyDescent="0.25">
      <c r="A610" s="11" t="s">
        <v>4</v>
      </c>
      <c r="B610" s="11" t="s">
        <v>863</v>
      </c>
      <c r="C610" s="12" t="s">
        <v>1138</v>
      </c>
      <c r="D610" s="12" t="s">
        <v>1721</v>
      </c>
      <c r="E610" s="13">
        <v>1</v>
      </c>
      <c r="F610" s="111">
        <v>2512</v>
      </c>
      <c r="G610" s="13" t="s">
        <v>1722</v>
      </c>
      <c r="H610" s="14" t="s">
        <v>274</v>
      </c>
      <c r="I610" s="14" t="s">
        <v>1723</v>
      </c>
      <c r="J610" s="12" t="s">
        <v>661</v>
      </c>
      <c r="K610" s="15" t="s">
        <v>1724</v>
      </c>
      <c r="O610" s="11" t="s">
        <v>1725</v>
      </c>
    </row>
    <row r="611" spans="1:15" hidden="1" x14ac:dyDescent="0.25">
      <c r="A611" s="11" t="s">
        <v>4</v>
      </c>
      <c r="B611" s="11" t="s">
        <v>863</v>
      </c>
      <c r="C611" s="12" t="s">
        <v>1138</v>
      </c>
      <c r="D611" s="12" t="s">
        <v>1726</v>
      </c>
      <c r="E611" s="13">
        <v>1</v>
      </c>
      <c r="F611" s="111">
        <v>2512</v>
      </c>
      <c r="G611" s="13" t="s">
        <v>1727</v>
      </c>
      <c r="H611" s="14" t="s">
        <v>274</v>
      </c>
      <c r="I611" s="14" t="s">
        <v>1728</v>
      </c>
      <c r="J611" s="12" t="s">
        <v>661</v>
      </c>
      <c r="K611" s="15" t="s">
        <v>1729</v>
      </c>
      <c r="O611" s="11" t="s">
        <v>1730</v>
      </c>
    </row>
    <row r="612" spans="1:15" hidden="1" x14ac:dyDescent="0.25">
      <c r="A612" s="11" t="s">
        <v>0</v>
      </c>
      <c r="B612" s="11" t="s">
        <v>863</v>
      </c>
      <c r="C612" s="12" t="s">
        <v>1138</v>
      </c>
      <c r="D612" s="12" t="s">
        <v>1734</v>
      </c>
      <c r="E612" s="13">
        <v>1</v>
      </c>
      <c r="F612" s="111">
        <v>2512</v>
      </c>
      <c r="G612" s="13" t="s">
        <v>1735</v>
      </c>
      <c r="H612" s="14" t="s">
        <v>274</v>
      </c>
      <c r="I612" s="14" t="s">
        <v>1736</v>
      </c>
      <c r="J612" s="12" t="s">
        <v>661</v>
      </c>
      <c r="K612" s="15" t="s">
        <v>1737</v>
      </c>
      <c r="O612" s="11" t="s">
        <v>1738</v>
      </c>
    </row>
    <row r="613" spans="1:15" hidden="1" x14ac:dyDescent="0.25">
      <c r="A613" s="11" t="s">
        <v>0</v>
      </c>
      <c r="B613" s="11" t="s">
        <v>863</v>
      </c>
      <c r="C613" s="12" t="s">
        <v>1138</v>
      </c>
      <c r="D613" s="12" t="s">
        <v>1739</v>
      </c>
      <c r="E613" s="13">
        <v>1</v>
      </c>
      <c r="F613" s="111">
        <v>2512</v>
      </c>
      <c r="G613" s="13" t="s">
        <v>1740</v>
      </c>
      <c r="H613" s="14" t="s">
        <v>274</v>
      </c>
      <c r="I613" s="14" t="s">
        <v>1741</v>
      </c>
      <c r="J613" s="12" t="s">
        <v>661</v>
      </c>
      <c r="K613" s="15" t="s">
        <v>1742</v>
      </c>
      <c r="O613" s="11" t="s">
        <v>1743</v>
      </c>
    </row>
    <row r="614" spans="1:15" hidden="1" x14ac:dyDescent="0.25">
      <c r="A614" s="11" t="s">
        <v>0</v>
      </c>
      <c r="B614" s="11" t="s">
        <v>863</v>
      </c>
      <c r="C614" s="12" t="s">
        <v>1138</v>
      </c>
      <c r="D614" s="12" t="s">
        <v>831</v>
      </c>
      <c r="E614" s="13">
        <v>1</v>
      </c>
      <c r="F614" s="111">
        <v>2512</v>
      </c>
      <c r="G614" s="13" t="s">
        <v>1744</v>
      </c>
      <c r="H614" s="14" t="s">
        <v>274</v>
      </c>
      <c r="I614" s="14" t="s">
        <v>1745</v>
      </c>
      <c r="J614" s="12" t="s">
        <v>661</v>
      </c>
      <c r="K614" s="15" t="s">
        <v>1746</v>
      </c>
      <c r="O614" s="11" t="s">
        <v>1747</v>
      </c>
    </row>
    <row r="615" spans="1:15" hidden="1" x14ac:dyDescent="0.25">
      <c r="A615" s="11" t="s">
        <v>0</v>
      </c>
      <c r="B615" s="11" t="s">
        <v>863</v>
      </c>
      <c r="C615" s="12" t="s">
        <v>1138</v>
      </c>
      <c r="D615" s="12" t="s">
        <v>1748</v>
      </c>
      <c r="E615" s="13">
        <v>1</v>
      </c>
      <c r="F615" s="111">
        <v>2512</v>
      </c>
      <c r="G615" s="13" t="s">
        <v>1749</v>
      </c>
      <c r="H615" s="14" t="s">
        <v>274</v>
      </c>
      <c r="I615" s="14" t="s">
        <v>1750</v>
      </c>
      <c r="J615" s="12" t="s">
        <v>661</v>
      </c>
      <c r="K615" s="15" t="s">
        <v>1751</v>
      </c>
      <c r="O615" s="11" t="s">
        <v>1752</v>
      </c>
    </row>
    <row r="616" spans="1:15" hidden="1" x14ac:dyDescent="0.25">
      <c r="A616" s="11" t="s">
        <v>0</v>
      </c>
      <c r="B616" s="11" t="s">
        <v>863</v>
      </c>
      <c r="C616" s="12" t="s">
        <v>1138</v>
      </c>
      <c r="D616" s="12" t="s">
        <v>1753</v>
      </c>
      <c r="E616" s="13">
        <v>1</v>
      </c>
      <c r="F616" s="111">
        <v>2512</v>
      </c>
      <c r="G616" s="13" t="s">
        <v>1754</v>
      </c>
      <c r="H616" s="14" t="s">
        <v>274</v>
      </c>
      <c r="I616" s="14" t="s">
        <v>1755</v>
      </c>
      <c r="J616" s="12" t="s">
        <v>661</v>
      </c>
      <c r="K616" s="15" t="s">
        <v>1756</v>
      </c>
      <c r="O616" s="11" t="s">
        <v>1757</v>
      </c>
    </row>
    <row r="617" spans="1:15" hidden="1" x14ac:dyDescent="0.25">
      <c r="A617" s="11" t="s">
        <v>0</v>
      </c>
      <c r="B617" s="11" t="s">
        <v>863</v>
      </c>
      <c r="C617" s="12" t="s">
        <v>1138</v>
      </c>
      <c r="D617" s="12" t="s">
        <v>1758</v>
      </c>
      <c r="E617" s="13">
        <v>1</v>
      </c>
      <c r="F617" s="111">
        <v>2512</v>
      </c>
      <c r="G617" s="13" t="s">
        <v>1759</v>
      </c>
      <c r="H617" s="14" t="s">
        <v>274</v>
      </c>
      <c r="I617" s="14" t="s">
        <v>1760</v>
      </c>
      <c r="J617" s="12" t="s">
        <v>661</v>
      </c>
      <c r="K617" s="15" t="s">
        <v>1761</v>
      </c>
      <c r="O617" s="11" t="s">
        <v>1762</v>
      </c>
    </row>
    <row r="618" spans="1:15" hidden="1" x14ac:dyDescent="0.25">
      <c r="A618" s="11" t="s">
        <v>0</v>
      </c>
      <c r="B618" s="11" t="s">
        <v>863</v>
      </c>
      <c r="C618" s="12" t="s">
        <v>1138</v>
      </c>
      <c r="D618" s="12" t="s">
        <v>1763</v>
      </c>
      <c r="E618" s="13">
        <v>1</v>
      </c>
      <c r="F618" s="111">
        <v>2512</v>
      </c>
      <c r="G618" s="13" t="s">
        <v>1764</v>
      </c>
      <c r="H618" s="14" t="s">
        <v>274</v>
      </c>
      <c r="I618" s="14" t="s">
        <v>1765</v>
      </c>
      <c r="J618" s="12" t="s">
        <v>559</v>
      </c>
      <c r="K618" s="15" t="s">
        <v>1766</v>
      </c>
      <c r="O618" s="11" t="s">
        <v>1767</v>
      </c>
    </row>
    <row r="619" spans="1:15" hidden="1" x14ac:dyDescent="0.25">
      <c r="A619" s="11" t="s">
        <v>23</v>
      </c>
      <c r="B619" s="11" t="s">
        <v>863</v>
      </c>
      <c r="C619" s="12" t="s">
        <v>1138</v>
      </c>
      <c r="D619" s="12" t="s">
        <v>1139</v>
      </c>
      <c r="E619" s="13">
        <v>1</v>
      </c>
      <c r="F619" s="111">
        <v>2513</v>
      </c>
      <c r="G619" s="13" t="s">
        <v>1140</v>
      </c>
      <c r="H619" s="14" t="s">
        <v>274</v>
      </c>
      <c r="I619" s="14" t="s">
        <v>1141</v>
      </c>
      <c r="J619" s="12" t="s">
        <v>661</v>
      </c>
      <c r="K619" s="15" t="s">
        <v>1142</v>
      </c>
      <c r="O619" s="11" t="s">
        <v>1143</v>
      </c>
    </row>
    <row r="620" spans="1:15" hidden="1" x14ac:dyDescent="0.25">
      <c r="A620" s="11" t="s">
        <v>23</v>
      </c>
      <c r="B620" s="11" t="s">
        <v>863</v>
      </c>
      <c r="C620" s="12" t="s">
        <v>1138</v>
      </c>
      <c r="D620" s="12" t="s">
        <v>1144</v>
      </c>
      <c r="E620" s="13">
        <v>1</v>
      </c>
      <c r="F620" s="111">
        <v>2513</v>
      </c>
      <c r="G620" s="13" t="s">
        <v>1145</v>
      </c>
      <c r="H620" s="14" t="s">
        <v>274</v>
      </c>
      <c r="I620" s="14" t="s">
        <v>1146</v>
      </c>
      <c r="J620" s="12" t="s">
        <v>661</v>
      </c>
      <c r="K620" s="15" t="s">
        <v>1147</v>
      </c>
      <c r="O620" s="11" t="s">
        <v>1148</v>
      </c>
    </row>
    <row r="621" spans="1:15" hidden="1" x14ac:dyDescent="0.25">
      <c r="A621" s="11" t="s">
        <v>21</v>
      </c>
      <c r="B621" s="11" t="s">
        <v>863</v>
      </c>
      <c r="C621" s="12" t="s">
        <v>1138</v>
      </c>
      <c r="D621" s="12" t="s">
        <v>1195</v>
      </c>
      <c r="E621" s="13">
        <v>1</v>
      </c>
      <c r="F621" s="111">
        <v>2513</v>
      </c>
      <c r="G621" s="13" t="s">
        <v>1196</v>
      </c>
      <c r="H621" s="14" t="s">
        <v>274</v>
      </c>
      <c r="I621" s="14" t="s">
        <v>1197</v>
      </c>
      <c r="J621" s="12" t="s">
        <v>661</v>
      </c>
      <c r="K621" s="15" t="s">
        <v>1198</v>
      </c>
      <c r="O621" s="11" t="s">
        <v>1199</v>
      </c>
    </row>
    <row r="622" spans="1:15" hidden="1" x14ac:dyDescent="0.25">
      <c r="A622" s="11" t="s">
        <v>21</v>
      </c>
      <c r="B622" s="11" t="s">
        <v>863</v>
      </c>
      <c r="C622" s="12" t="s">
        <v>1138</v>
      </c>
      <c r="D622" s="12" t="s">
        <v>1222</v>
      </c>
      <c r="E622" s="13">
        <v>1</v>
      </c>
      <c r="F622" s="111">
        <v>2513</v>
      </c>
      <c r="G622" s="13" t="s">
        <v>1223</v>
      </c>
      <c r="H622" s="14" t="s">
        <v>274</v>
      </c>
      <c r="I622" s="14" t="s">
        <v>1224</v>
      </c>
      <c r="J622" s="12" t="s">
        <v>661</v>
      </c>
      <c r="K622" s="15" t="s">
        <v>1225</v>
      </c>
      <c r="O622" s="11" t="s">
        <v>1226</v>
      </c>
    </row>
    <row r="623" spans="1:15" hidden="1" x14ac:dyDescent="0.25">
      <c r="A623" s="11" t="s">
        <v>21</v>
      </c>
      <c r="B623" s="11" t="s">
        <v>863</v>
      </c>
      <c r="C623" s="12" t="s">
        <v>1138</v>
      </c>
      <c r="D623" s="12" t="s">
        <v>1227</v>
      </c>
      <c r="E623" s="13">
        <v>1</v>
      </c>
      <c r="F623" s="111">
        <v>2513</v>
      </c>
      <c r="G623" s="13" t="s">
        <v>1232</v>
      </c>
      <c r="H623" s="14" t="s">
        <v>274</v>
      </c>
      <c r="I623" s="14" t="s">
        <v>1233</v>
      </c>
      <c r="J623" s="12" t="s">
        <v>661</v>
      </c>
      <c r="K623" s="15" t="s">
        <v>1234</v>
      </c>
      <c r="O623" s="11" t="s">
        <v>1231</v>
      </c>
    </row>
    <row r="624" spans="1:15" hidden="1" x14ac:dyDescent="0.25">
      <c r="A624" s="11" t="s">
        <v>21</v>
      </c>
      <c r="B624" s="11" t="s">
        <v>863</v>
      </c>
      <c r="C624" s="12" t="s">
        <v>1138</v>
      </c>
      <c r="D624" s="12" t="s">
        <v>1235</v>
      </c>
      <c r="E624" s="13">
        <v>1</v>
      </c>
      <c r="F624" s="111">
        <v>2513</v>
      </c>
      <c r="G624" s="13" t="s">
        <v>1236</v>
      </c>
      <c r="H624" s="14" t="s">
        <v>274</v>
      </c>
      <c r="I624" s="14" t="s">
        <v>1237</v>
      </c>
      <c r="J624" s="12" t="s">
        <v>661</v>
      </c>
      <c r="K624" s="15" t="s">
        <v>1238</v>
      </c>
      <c r="O624" s="11" t="s">
        <v>1239</v>
      </c>
    </row>
    <row r="625" spans="1:15" hidden="1" x14ac:dyDescent="0.25">
      <c r="A625" s="11" t="s">
        <v>21</v>
      </c>
      <c r="B625" s="11" t="s">
        <v>863</v>
      </c>
      <c r="C625" s="12" t="s">
        <v>1138</v>
      </c>
      <c r="D625" s="12" t="s">
        <v>1227</v>
      </c>
      <c r="E625" s="13">
        <v>2</v>
      </c>
      <c r="F625" s="111">
        <v>2513</v>
      </c>
      <c r="G625" s="13" t="s">
        <v>1228</v>
      </c>
      <c r="H625" s="14" t="s">
        <v>274</v>
      </c>
      <c r="I625" s="14" t="s">
        <v>1229</v>
      </c>
      <c r="J625" s="12" t="s">
        <v>661</v>
      </c>
      <c r="K625" s="15" t="s">
        <v>1230</v>
      </c>
      <c r="O625" s="11" t="s">
        <v>1231</v>
      </c>
    </row>
    <row r="626" spans="1:15" hidden="1" x14ac:dyDescent="0.25">
      <c r="A626" s="11" t="s">
        <v>21</v>
      </c>
      <c r="B626" s="11" t="s">
        <v>863</v>
      </c>
      <c r="C626" s="12" t="s">
        <v>1138</v>
      </c>
      <c r="D626" s="12" t="s">
        <v>1598</v>
      </c>
      <c r="E626" s="13">
        <v>1</v>
      </c>
      <c r="F626" s="111">
        <v>2514</v>
      </c>
      <c r="G626" s="13" t="s">
        <v>1599</v>
      </c>
      <c r="H626" s="14" t="s">
        <v>274</v>
      </c>
      <c r="I626" s="14" t="s">
        <v>1600</v>
      </c>
      <c r="J626" s="12" t="s">
        <v>661</v>
      </c>
      <c r="K626" s="15" t="s">
        <v>1601</v>
      </c>
      <c r="O626" s="11" t="s">
        <v>1602</v>
      </c>
    </row>
    <row r="627" spans="1:15" hidden="1" x14ac:dyDescent="0.25">
      <c r="A627" s="11" t="s">
        <v>21</v>
      </c>
      <c r="B627" s="11" t="s">
        <v>863</v>
      </c>
      <c r="C627" s="12" t="s">
        <v>1138</v>
      </c>
      <c r="D627" s="12" t="s">
        <v>1603</v>
      </c>
      <c r="E627" s="13">
        <v>1</v>
      </c>
      <c r="F627" s="111">
        <v>2514</v>
      </c>
      <c r="G627" s="13" t="s">
        <v>1604</v>
      </c>
      <c r="H627" s="14" t="s">
        <v>274</v>
      </c>
      <c r="I627" s="14" t="s">
        <v>1605</v>
      </c>
      <c r="J627" s="12" t="s">
        <v>661</v>
      </c>
      <c r="K627" s="15" t="s">
        <v>1606</v>
      </c>
      <c r="O627" s="11" t="s">
        <v>1607</v>
      </c>
    </row>
    <row r="628" spans="1:15" hidden="1" x14ac:dyDescent="0.25">
      <c r="A628" s="11" t="s">
        <v>21</v>
      </c>
      <c r="B628" s="11" t="s">
        <v>863</v>
      </c>
      <c r="C628" s="12" t="s">
        <v>1138</v>
      </c>
      <c r="D628" s="12" t="s">
        <v>1608</v>
      </c>
      <c r="E628" s="13">
        <v>1</v>
      </c>
      <c r="F628" s="111">
        <v>2514</v>
      </c>
      <c r="G628" s="13" t="s">
        <v>1609</v>
      </c>
      <c r="H628" s="14" t="s">
        <v>274</v>
      </c>
      <c r="I628" s="14" t="s">
        <v>1610</v>
      </c>
      <c r="J628" s="12" t="s">
        <v>661</v>
      </c>
      <c r="K628" s="15" t="s">
        <v>1611</v>
      </c>
      <c r="O628" s="11" t="s">
        <v>1612</v>
      </c>
    </row>
    <row r="629" spans="1:15" hidden="1" x14ac:dyDescent="0.25">
      <c r="A629" s="11" t="s">
        <v>21</v>
      </c>
      <c r="B629" s="11" t="s">
        <v>863</v>
      </c>
      <c r="C629" s="12" t="s">
        <v>1138</v>
      </c>
      <c r="D629" s="12" t="s">
        <v>1613</v>
      </c>
      <c r="E629" s="13">
        <v>1</v>
      </c>
      <c r="F629" s="111">
        <v>2514</v>
      </c>
      <c r="G629" s="13" t="s">
        <v>1614</v>
      </c>
      <c r="H629" s="14" t="s">
        <v>274</v>
      </c>
      <c r="I629" s="14" t="s">
        <v>1615</v>
      </c>
      <c r="J629" s="12" t="s">
        <v>661</v>
      </c>
      <c r="K629" s="15" t="s">
        <v>1616</v>
      </c>
      <c r="O629" s="11" t="s">
        <v>1617</v>
      </c>
    </row>
    <row r="630" spans="1:15" hidden="1" x14ac:dyDescent="0.25">
      <c r="A630" s="11" t="s">
        <v>21</v>
      </c>
      <c r="B630" s="11" t="s">
        <v>863</v>
      </c>
      <c r="C630" s="12" t="s">
        <v>1138</v>
      </c>
      <c r="D630" s="12" t="s">
        <v>1623</v>
      </c>
      <c r="E630" s="13">
        <v>1</v>
      </c>
      <c r="F630" s="111">
        <v>2514</v>
      </c>
      <c r="G630" s="13" t="s">
        <v>1624</v>
      </c>
      <c r="H630" s="14" t="s">
        <v>274</v>
      </c>
      <c r="I630" s="14" t="s">
        <v>1625</v>
      </c>
      <c r="J630" s="12" t="s">
        <v>661</v>
      </c>
      <c r="K630" s="15" t="s">
        <v>1626</v>
      </c>
      <c r="O630" s="11" t="s">
        <v>1627</v>
      </c>
    </row>
    <row r="631" spans="1:15" hidden="1" x14ac:dyDescent="0.25">
      <c r="A631" s="11" t="s">
        <v>21</v>
      </c>
      <c r="B631" s="11" t="s">
        <v>863</v>
      </c>
      <c r="C631" s="12" t="s">
        <v>1138</v>
      </c>
      <c r="D631" s="12" t="s">
        <v>640</v>
      </c>
      <c r="E631" s="13">
        <v>1</v>
      </c>
      <c r="F631" s="111">
        <v>2514</v>
      </c>
      <c r="G631" s="13" t="s">
        <v>1628</v>
      </c>
      <c r="H631" s="14" t="s">
        <v>274</v>
      </c>
      <c r="I631" s="14" t="s">
        <v>1629</v>
      </c>
      <c r="J631" s="12" t="s">
        <v>661</v>
      </c>
      <c r="K631" s="15" t="s">
        <v>1630</v>
      </c>
      <c r="O631" s="11" t="s">
        <v>1631</v>
      </c>
    </row>
    <row r="632" spans="1:15" hidden="1" x14ac:dyDescent="0.25">
      <c r="A632" s="11" t="s">
        <v>21</v>
      </c>
      <c r="B632" s="11" t="s">
        <v>863</v>
      </c>
      <c r="C632" s="12" t="s">
        <v>1138</v>
      </c>
      <c r="D632" s="12" t="s">
        <v>631</v>
      </c>
      <c r="E632" s="13">
        <v>1</v>
      </c>
      <c r="F632" s="111">
        <v>2514</v>
      </c>
      <c r="G632" s="13" t="s">
        <v>1632</v>
      </c>
      <c r="H632" s="14" t="s">
        <v>274</v>
      </c>
      <c r="I632" s="14" t="s">
        <v>1633</v>
      </c>
      <c r="J632" s="12" t="s">
        <v>661</v>
      </c>
      <c r="K632" s="15" t="s">
        <v>1634</v>
      </c>
      <c r="O632" s="11" t="s">
        <v>1635</v>
      </c>
    </row>
    <row r="633" spans="1:15" hidden="1" x14ac:dyDescent="0.25">
      <c r="A633" s="11" t="s">
        <v>21</v>
      </c>
      <c r="B633" s="11" t="s">
        <v>863</v>
      </c>
      <c r="C633" s="12" t="s">
        <v>1138</v>
      </c>
      <c r="D633" s="12" t="s">
        <v>1636</v>
      </c>
      <c r="E633" s="13">
        <v>1</v>
      </c>
      <c r="F633" s="111">
        <v>2514</v>
      </c>
      <c r="G633" s="13" t="s">
        <v>1637</v>
      </c>
      <c r="H633" s="14" t="s">
        <v>274</v>
      </c>
      <c r="I633" s="14" t="s">
        <v>1638</v>
      </c>
      <c r="J633" s="12" t="s">
        <v>559</v>
      </c>
      <c r="K633" s="15" t="s">
        <v>1639</v>
      </c>
      <c r="O633" s="11" t="s">
        <v>1640</v>
      </c>
    </row>
    <row r="634" spans="1:15" hidden="1" x14ac:dyDescent="0.25">
      <c r="A634" s="11" t="s">
        <v>23</v>
      </c>
      <c r="B634" s="11" t="s">
        <v>863</v>
      </c>
      <c r="C634" s="12" t="s">
        <v>1138</v>
      </c>
      <c r="D634" s="12" t="s">
        <v>1309</v>
      </c>
      <c r="E634" s="13">
        <v>1</v>
      </c>
      <c r="F634" s="111">
        <v>2514</v>
      </c>
      <c r="G634" s="13" t="s">
        <v>1933</v>
      </c>
      <c r="H634" s="14" t="s">
        <v>274</v>
      </c>
      <c r="I634" s="14" t="s">
        <v>1934</v>
      </c>
      <c r="J634" s="12" t="s">
        <v>661</v>
      </c>
      <c r="K634" s="15" t="s">
        <v>1935</v>
      </c>
      <c r="O634" s="11" t="s">
        <v>1936</v>
      </c>
    </row>
    <row r="635" spans="1:15" hidden="1" x14ac:dyDescent="0.25">
      <c r="A635" s="11" t="s">
        <v>21</v>
      </c>
      <c r="B635" s="11" t="s">
        <v>863</v>
      </c>
      <c r="C635" s="12" t="s">
        <v>1138</v>
      </c>
      <c r="D635" s="12" t="s">
        <v>1285</v>
      </c>
      <c r="E635" s="13">
        <v>1</v>
      </c>
      <c r="F635" s="111">
        <v>2514</v>
      </c>
      <c r="G635" s="13" t="s">
        <v>1941</v>
      </c>
      <c r="H635" s="14" t="s">
        <v>274</v>
      </c>
      <c r="I635" s="14" t="s">
        <v>1942</v>
      </c>
      <c r="J635" s="12" t="s">
        <v>661</v>
      </c>
      <c r="K635" s="15" t="s">
        <v>1943</v>
      </c>
      <c r="O635" s="11" t="s">
        <v>1944</v>
      </c>
    </row>
    <row r="636" spans="1:15" hidden="1" x14ac:dyDescent="0.25">
      <c r="A636" s="11" t="s">
        <v>23</v>
      </c>
      <c r="B636" s="11" t="s">
        <v>863</v>
      </c>
      <c r="C636" s="12" t="s">
        <v>1138</v>
      </c>
      <c r="D636" s="12" t="s">
        <v>1309</v>
      </c>
      <c r="E636" s="13">
        <v>2</v>
      </c>
      <c r="F636" s="111">
        <v>2514</v>
      </c>
      <c r="G636" s="13" t="s">
        <v>1937</v>
      </c>
      <c r="H636" s="14" t="s">
        <v>274</v>
      </c>
      <c r="I636" s="14" t="s">
        <v>1938</v>
      </c>
      <c r="J636" s="12" t="s">
        <v>661</v>
      </c>
      <c r="K636" s="15" t="s">
        <v>1939</v>
      </c>
      <c r="O636" s="11" t="s">
        <v>1936</v>
      </c>
    </row>
    <row r="637" spans="1:15" hidden="1" x14ac:dyDescent="0.25">
      <c r="A637" s="11" t="s">
        <v>21</v>
      </c>
      <c r="B637" s="11" t="s">
        <v>863</v>
      </c>
      <c r="C637" s="12" t="s">
        <v>1138</v>
      </c>
      <c r="D637" s="12" t="s">
        <v>1285</v>
      </c>
      <c r="E637" s="13">
        <v>2</v>
      </c>
      <c r="F637" s="111">
        <v>2514</v>
      </c>
      <c r="G637" s="13" t="s">
        <v>1951</v>
      </c>
      <c r="H637" s="14" t="s">
        <v>274</v>
      </c>
      <c r="I637" s="14" t="s">
        <v>1952</v>
      </c>
      <c r="J637" s="12" t="s">
        <v>661</v>
      </c>
      <c r="K637" s="15" t="s">
        <v>1953</v>
      </c>
      <c r="O637" s="11" t="s">
        <v>1944</v>
      </c>
    </row>
    <row r="638" spans="1:15" hidden="1" x14ac:dyDescent="0.25">
      <c r="A638" s="11" t="s">
        <v>21</v>
      </c>
      <c r="B638" s="11" t="s">
        <v>863</v>
      </c>
      <c r="C638" s="12" t="s">
        <v>1138</v>
      </c>
      <c r="D638" s="12" t="s">
        <v>1618</v>
      </c>
      <c r="E638" s="13">
        <v>1</v>
      </c>
      <c r="F638" s="111">
        <v>2515</v>
      </c>
      <c r="G638" s="13" t="s">
        <v>1619</v>
      </c>
      <c r="H638" s="14" t="s">
        <v>274</v>
      </c>
      <c r="I638" s="14" t="s">
        <v>1620</v>
      </c>
      <c r="J638" s="12" t="s">
        <v>661</v>
      </c>
      <c r="K638" s="15" t="s">
        <v>1621</v>
      </c>
      <c r="O638" s="11" t="s">
        <v>1622</v>
      </c>
    </row>
    <row r="639" spans="1:15" hidden="1" x14ac:dyDescent="0.25">
      <c r="A639" s="11" t="s">
        <v>21</v>
      </c>
      <c r="B639" s="11" t="s">
        <v>863</v>
      </c>
      <c r="C639" s="12" t="s">
        <v>1138</v>
      </c>
      <c r="D639" s="12" t="s">
        <v>1641</v>
      </c>
      <c r="E639" s="13">
        <v>1</v>
      </c>
      <c r="F639" s="111">
        <v>2515</v>
      </c>
      <c r="G639" s="13" t="s">
        <v>1642</v>
      </c>
      <c r="H639" s="14" t="s">
        <v>274</v>
      </c>
      <c r="I639" s="14" t="s">
        <v>1643</v>
      </c>
      <c r="J639" s="12" t="s">
        <v>661</v>
      </c>
      <c r="K639" s="15" t="s">
        <v>1644</v>
      </c>
      <c r="O639" s="11" t="s">
        <v>1645</v>
      </c>
    </row>
    <row r="640" spans="1:15" hidden="1" x14ac:dyDescent="0.25">
      <c r="A640" s="11" t="s">
        <v>0</v>
      </c>
      <c r="B640" s="11" t="s">
        <v>863</v>
      </c>
      <c r="C640" s="12" t="s">
        <v>1138</v>
      </c>
      <c r="D640" s="12" t="s">
        <v>1285</v>
      </c>
      <c r="E640" s="13">
        <v>1</v>
      </c>
      <c r="F640" s="111">
        <v>2515</v>
      </c>
      <c r="G640" s="13" t="s">
        <v>2357</v>
      </c>
      <c r="H640" s="14" t="s">
        <v>274</v>
      </c>
      <c r="I640" s="14" t="s">
        <v>2358</v>
      </c>
      <c r="J640" s="12" t="s">
        <v>661</v>
      </c>
      <c r="K640" s="15" t="s">
        <v>2359</v>
      </c>
      <c r="O640" s="11" t="s">
        <v>2354</v>
      </c>
    </row>
    <row r="641" spans="1:15" hidden="1" x14ac:dyDescent="0.25">
      <c r="A641" s="11" t="s">
        <v>0</v>
      </c>
      <c r="B641" s="11" t="s">
        <v>863</v>
      </c>
      <c r="C641" s="12" t="s">
        <v>1138</v>
      </c>
      <c r="D641" s="12" t="s">
        <v>1285</v>
      </c>
      <c r="E641" s="13">
        <v>2</v>
      </c>
      <c r="F641" s="111">
        <v>2515</v>
      </c>
      <c r="G641" s="13" t="s">
        <v>2351</v>
      </c>
      <c r="H641" s="14" t="s">
        <v>274</v>
      </c>
      <c r="I641" s="14" t="s">
        <v>2352</v>
      </c>
      <c r="J641" s="12" t="s">
        <v>661</v>
      </c>
      <c r="K641" s="15" t="s">
        <v>2353</v>
      </c>
      <c r="O641" s="11" t="s">
        <v>2354</v>
      </c>
    </row>
    <row r="642" spans="1:15" hidden="1" x14ac:dyDescent="0.25">
      <c r="A642" s="11" t="s">
        <v>21</v>
      </c>
      <c r="B642" s="11" t="s">
        <v>863</v>
      </c>
      <c r="C642" s="12" t="s">
        <v>1138</v>
      </c>
      <c r="D642" s="12" t="s">
        <v>1280</v>
      </c>
      <c r="E642" s="13">
        <v>1</v>
      </c>
      <c r="F642" s="111">
        <v>2516</v>
      </c>
      <c r="G642" s="13" t="s">
        <v>1281</v>
      </c>
      <c r="H642" s="14" t="s">
        <v>274</v>
      </c>
      <c r="I642" s="14" t="s">
        <v>1282</v>
      </c>
      <c r="J642" s="12" t="s">
        <v>661</v>
      </c>
      <c r="K642" s="15" t="s">
        <v>1283</v>
      </c>
      <c r="O642" s="11" t="s">
        <v>1284</v>
      </c>
    </row>
    <row r="643" spans="1:15" hidden="1" x14ac:dyDescent="0.25">
      <c r="A643" s="11" t="s">
        <v>21</v>
      </c>
      <c r="B643" s="11" t="s">
        <v>863</v>
      </c>
      <c r="C643" s="12" t="s">
        <v>1138</v>
      </c>
      <c r="D643" s="12" t="s">
        <v>1285</v>
      </c>
      <c r="E643" s="13">
        <v>1</v>
      </c>
      <c r="F643" s="111">
        <v>2516</v>
      </c>
      <c r="G643" s="13" t="s">
        <v>1296</v>
      </c>
      <c r="H643" s="14" t="s">
        <v>274</v>
      </c>
      <c r="I643" s="14" t="s">
        <v>1297</v>
      </c>
      <c r="J643" s="12" t="s">
        <v>661</v>
      </c>
      <c r="K643" s="15" t="s">
        <v>1298</v>
      </c>
      <c r="O643" s="11" t="s">
        <v>1289</v>
      </c>
    </row>
    <row r="644" spans="1:15" hidden="1" x14ac:dyDescent="0.25">
      <c r="A644" s="11" t="s">
        <v>21</v>
      </c>
      <c r="B644" s="11" t="s">
        <v>863</v>
      </c>
      <c r="C644" s="12" t="s">
        <v>1138</v>
      </c>
      <c r="D644" s="12" t="s">
        <v>1299</v>
      </c>
      <c r="E644" s="13">
        <v>1</v>
      </c>
      <c r="F644" s="111">
        <v>2516</v>
      </c>
      <c r="G644" s="13" t="s">
        <v>1300</v>
      </c>
      <c r="H644" s="14" t="s">
        <v>274</v>
      </c>
      <c r="I644" s="14" t="s">
        <v>1301</v>
      </c>
      <c r="J644" s="12" t="s">
        <v>661</v>
      </c>
      <c r="K644" s="15" t="s">
        <v>1302</v>
      </c>
      <c r="O644" s="11" t="s">
        <v>1303</v>
      </c>
    </row>
    <row r="645" spans="1:15" hidden="1" x14ac:dyDescent="0.25">
      <c r="A645" s="11" t="s">
        <v>21</v>
      </c>
      <c r="B645" s="11" t="s">
        <v>863</v>
      </c>
      <c r="C645" s="12" t="s">
        <v>1138</v>
      </c>
      <c r="D645" s="12" t="s">
        <v>1304</v>
      </c>
      <c r="E645" s="13">
        <v>1</v>
      </c>
      <c r="F645" s="111">
        <v>2516</v>
      </c>
      <c r="G645" s="13" t="s">
        <v>1305</v>
      </c>
      <c r="H645" s="14" t="s">
        <v>274</v>
      </c>
      <c r="I645" s="14" t="s">
        <v>1306</v>
      </c>
      <c r="J645" s="12" t="s">
        <v>661</v>
      </c>
      <c r="K645" s="15" t="s">
        <v>1307</v>
      </c>
      <c r="O645" s="11" t="s">
        <v>1308</v>
      </c>
    </row>
    <row r="646" spans="1:15" hidden="1" x14ac:dyDescent="0.25">
      <c r="A646" s="11" t="s">
        <v>23</v>
      </c>
      <c r="B646" s="11" t="s">
        <v>863</v>
      </c>
      <c r="C646" s="12" t="s">
        <v>1138</v>
      </c>
      <c r="D646" s="12" t="s">
        <v>1309</v>
      </c>
      <c r="E646" s="13">
        <v>1</v>
      </c>
      <c r="F646" s="111">
        <v>2516</v>
      </c>
      <c r="G646" s="13" t="s">
        <v>1314</v>
      </c>
      <c r="H646" s="14" t="s">
        <v>274</v>
      </c>
      <c r="I646" s="14" t="s">
        <v>1315</v>
      </c>
      <c r="J646" s="12" t="s">
        <v>661</v>
      </c>
      <c r="K646" s="15" t="s">
        <v>1316</v>
      </c>
      <c r="O646" s="11" t="s">
        <v>1313</v>
      </c>
    </row>
    <row r="647" spans="1:15" hidden="1" x14ac:dyDescent="0.25">
      <c r="A647" s="11" t="s">
        <v>21</v>
      </c>
      <c r="B647" s="11" t="s">
        <v>863</v>
      </c>
      <c r="C647" s="12" t="s">
        <v>1138</v>
      </c>
      <c r="D647" s="12" t="s">
        <v>1285</v>
      </c>
      <c r="E647" s="13">
        <v>2</v>
      </c>
      <c r="F647" s="111">
        <v>2516</v>
      </c>
      <c r="G647" s="13" t="s">
        <v>1293</v>
      </c>
      <c r="H647" s="14" t="s">
        <v>274</v>
      </c>
      <c r="I647" s="14" t="s">
        <v>1294</v>
      </c>
      <c r="J647" s="12" t="s">
        <v>661</v>
      </c>
      <c r="K647" s="15" t="s">
        <v>1295</v>
      </c>
      <c r="O647" s="11" t="s">
        <v>1289</v>
      </c>
    </row>
    <row r="648" spans="1:15" hidden="1" x14ac:dyDescent="0.25">
      <c r="A648" s="11" t="s">
        <v>23</v>
      </c>
      <c r="B648" s="11" t="s">
        <v>863</v>
      </c>
      <c r="C648" s="12" t="s">
        <v>1138</v>
      </c>
      <c r="D648" s="12" t="s">
        <v>1309</v>
      </c>
      <c r="E648" s="13">
        <v>2</v>
      </c>
      <c r="F648" s="111">
        <v>2516</v>
      </c>
      <c r="G648" s="13" t="s">
        <v>1310</v>
      </c>
      <c r="H648" s="14" t="s">
        <v>274</v>
      </c>
      <c r="I648" s="14" t="s">
        <v>1311</v>
      </c>
      <c r="J648" s="12" t="s">
        <v>661</v>
      </c>
      <c r="K648" s="15" t="s">
        <v>1312</v>
      </c>
      <c r="O648" s="11" t="s">
        <v>1313</v>
      </c>
    </row>
    <row r="649" spans="1:15" hidden="1" x14ac:dyDescent="0.25">
      <c r="A649" s="11" t="s">
        <v>21</v>
      </c>
      <c r="B649" s="11" t="s">
        <v>863</v>
      </c>
      <c r="C649" s="12" t="s">
        <v>1138</v>
      </c>
      <c r="D649" s="12" t="s">
        <v>1285</v>
      </c>
      <c r="E649" s="13">
        <v>3</v>
      </c>
      <c r="F649" s="111">
        <v>2516</v>
      </c>
      <c r="G649" s="13" t="s">
        <v>1290</v>
      </c>
      <c r="H649" s="14" t="s">
        <v>274</v>
      </c>
      <c r="I649" s="14" t="s">
        <v>1291</v>
      </c>
      <c r="J649" s="12" t="s">
        <v>661</v>
      </c>
      <c r="K649" s="15" t="s">
        <v>1292</v>
      </c>
      <c r="O649" s="11" t="s">
        <v>1289</v>
      </c>
    </row>
    <row r="650" spans="1:15" hidden="1" x14ac:dyDescent="0.25">
      <c r="A650" s="11" t="s">
        <v>21</v>
      </c>
      <c r="B650" s="11" t="s">
        <v>863</v>
      </c>
      <c r="C650" s="12" t="s">
        <v>1138</v>
      </c>
      <c r="D650" s="12" t="s">
        <v>1285</v>
      </c>
      <c r="E650" s="13">
        <v>4</v>
      </c>
      <c r="F650" s="111">
        <v>2516</v>
      </c>
      <c r="G650" s="13" t="s">
        <v>1286</v>
      </c>
      <c r="H650" s="14" t="s">
        <v>274</v>
      </c>
      <c r="I650" s="14" t="s">
        <v>1287</v>
      </c>
      <c r="J650" s="12" t="s">
        <v>661</v>
      </c>
      <c r="K650" s="15" t="s">
        <v>1288</v>
      </c>
      <c r="O650" s="11" t="s">
        <v>1289</v>
      </c>
    </row>
    <row r="651" spans="1:15" hidden="1" x14ac:dyDescent="0.25">
      <c r="A651" s="11" t="s">
        <v>0</v>
      </c>
      <c r="B651" s="11" t="s">
        <v>863</v>
      </c>
      <c r="C651" s="12" t="s">
        <v>1138</v>
      </c>
      <c r="D651" s="12" t="s">
        <v>1871</v>
      </c>
      <c r="E651" s="13">
        <v>1</v>
      </c>
      <c r="F651" s="111">
        <v>2517</v>
      </c>
      <c r="G651" s="13" t="s">
        <v>1872</v>
      </c>
      <c r="H651" s="14" t="s">
        <v>274</v>
      </c>
      <c r="I651" s="14" t="s">
        <v>1873</v>
      </c>
      <c r="J651" s="12" t="s">
        <v>559</v>
      </c>
      <c r="K651" s="15" t="s">
        <v>1874</v>
      </c>
      <c r="O651" s="11" t="s">
        <v>1875</v>
      </c>
    </row>
    <row r="652" spans="1:15" hidden="1" x14ac:dyDescent="0.25">
      <c r="A652" s="11" t="s">
        <v>2</v>
      </c>
      <c r="D652" s="12" t="s">
        <v>296</v>
      </c>
      <c r="G652" s="13" t="s">
        <v>297</v>
      </c>
      <c r="H652" s="14" t="s">
        <v>283</v>
      </c>
      <c r="I652" s="14" t="s">
        <v>298</v>
      </c>
      <c r="K652" s="15" t="s">
        <v>299</v>
      </c>
      <c r="O652" s="11" t="s">
        <v>3263</v>
      </c>
    </row>
    <row r="653" spans="1:15" hidden="1" x14ac:dyDescent="0.25">
      <c r="A653" s="11" t="s">
        <v>21</v>
      </c>
      <c r="B653" s="11" t="s">
        <v>863</v>
      </c>
      <c r="C653" s="12" t="s">
        <v>1651</v>
      </c>
      <c r="D653" s="12" t="s">
        <v>1657</v>
      </c>
      <c r="E653" s="13">
        <v>1</v>
      </c>
      <c r="F653" s="111">
        <v>2611</v>
      </c>
      <c r="G653" s="13" t="s">
        <v>1658</v>
      </c>
      <c r="H653" s="14" t="s">
        <v>554</v>
      </c>
      <c r="I653" s="14" t="s">
        <v>1659</v>
      </c>
      <c r="J653" s="12" t="s">
        <v>555</v>
      </c>
      <c r="K653" s="15" t="s">
        <v>1660</v>
      </c>
      <c r="O653" s="11" t="s">
        <v>1661</v>
      </c>
    </row>
    <row r="654" spans="1:15" hidden="1" x14ac:dyDescent="0.25">
      <c r="A654" s="11" t="s">
        <v>21</v>
      </c>
      <c r="B654" s="11" t="s">
        <v>863</v>
      </c>
      <c r="C654" s="12" t="s">
        <v>1651</v>
      </c>
      <c r="D654" s="12" t="s">
        <v>1662</v>
      </c>
      <c r="E654" s="13">
        <v>1</v>
      </c>
      <c r="F654" s="111">
        <v>2611</v>
      </c>
      <c r="G654" s="13" t="s">
        <v>1663</v>
      </c>
      <c r="H654" s="14" t="s">
        <v>554</v>
      </c>
      <c r="I654" s="14" t="s">
        <v>1664</v>
      </c>
      <c r="J654" s="12" t="s">
        <v>555</v>
      </c>
      <c r="K654" s="15" t="s">
        <v>1665</v>
      </c>
      <c r="O654" s="11" t="s">
        <v>1666</v>
      </c>
    </row>
    <row r="655" spans="1:15" hidden="1" x14ac:dyDescent="0.25">
      <c r="A655" s="11" t="s">
        <v>21</v>
      </c>
      <c r="B655" s="11" t="s">
        <v>863</v>
      </c>
      <c r="C655" s="12" t="s">
        <v>1651</v>
      </c>
      <c r="D655" s="12" t="s">
        <v>1667</v>
      </c>
      <c r="E655" s="13">
        <v>1</v>
      </c>
      <c r="F655" s="111">
        <v>2611</v>
      </c>
      <c r="G655" s="13" t="s">
        <v>1668</v>
      </c>
      <c r="H655" s="14" t="s">
        <v>554</v>
      </c>
      <c r="I655" s="14" t="s">
        <v>1669</v>
      </c>
      <c r="J655" s="12" t="s">
        <v>555</v>
      </c>
      <c r="K655" s="15" t="s">
        <v>1670</v>
      </c>
      <c r="O655" s="11" t="s">
        <v>1671</v>
      </c>
    </row>
    <row r="656" spans="1:15" hidden="1" x14ac:dyDescent="0.25">
      <c r="A656" s="11" t="s">
        <v>21</v>
      </c>
      <c r="B656" s="11" t="s">
        <v>863</v>
      </c>
      <c r="C656" s="12" t="s">
        <v>1651</v>
      </c>
      <c r="D656" s="12" t="s">
        <v>1672</v>
      </c>
      <c r="E656" s="13">
        <v>1</v>
      </c>
      <c r="F656" s="111">
        <v>2611</v>
      </c>
      <c r="G656" s="13" t="s">
        <v>1673</v>
      </c>
      <c r="H656" s="14" t="s">
        <v>274</v>
      </c>
      <c r="I656" s="14" t="s">
        <v>1674</v>
      </c>
      <c r="J656" s="12" t="s">
        <v>1675</v>
      </c>
      <c r="K656" s="15" t="s">
        <v>1676</v>
      </c>
      <c r="O656" s="11" t="s">
        <v>1677</v>
      </c>
    </row>
    <row r="657" spans="1:15" hidden="1" x14ac:dyDescent="0.25">
      <c r="A657" s="11" t="s">
        <v>21</v>
      </c>
      <c r="B657" s="11" t="s">
        <v>863</v>
      </c>
      <c r="C657" s="12" t="s">
        <v>1651</v>
      </c>
      <c r="D657" s="12" t="s">
        <v>2331</v>
      </c>
      <c r="E657" s="13">
        <v>1</v>
      </c>
      <c r="F657" s="111">
        <v>2612</v>
      </c>
      <c r="G657" s="13" t="s">
        <v>2332</v>
      </c>
      <c r="H657" s="14" t="s">
        <v>554</v>
      </c>
      <c r="I657" s="14" t="s">
        <v>2333</v>
      </c>
      <c r="J657" s="12" t="s">
        <v>555</v>
      </c>
      <c r="K657" s="15" t="s">
        <v>2334</v>
      </c>
      <c r="O657" s="11" t="s">
        <v>2335</v>
      </c>
    </row>
    <row r="658" spans="1:15" hidden="1" x14ac:dyDescent="0.25">
      <c r="A658" s="11" t="s">
        <v>21</v>
      </c>
      <c r="B658" s="11" t="s">
        <v>863</v>
      </c>
      <c r="C658" s="12" t="s">
        <v>1651</v>
      </c>
      <c r="D658" s="12" t="s">
        <v>2336</v>
      </c>
      <c r="E658" s="13">
        <v>1</v>
      </c>
      <c r="F658" s="111">
        <v>2612</v>
      </c>
      <c r="G658" s="13" t="s">
        <v>2337</v>
      </c>
      <c r="H658" s="14" t="s">
        <v>554</v>
      </c>
      <c r="I658" s="14" t="s">
        <v>2338</v>
      </c>
      <c r="J658" s="12" t="s">
        <v>555</v>
      </c>
      <c r="K658" s="15" t="s">
        <v>2339</v>
      </c>
      <c r="O658" s="11" t="s">
        <v>2340</v>
      </c>
    </row>
    <row r="659" spans="1:15" hidden="1" x14ac:dyDescent="0.25">
      <c r="A659" s="11" t="s">
        <v>21</v>
      </c>
      <c r="B659" s="11" t="s">
        <v>863</v>
      </c>
      <c r="C659" s="12" t="s">
        <v>1651</v>
      </c>
      <c r="D659" s="12" t="s">
        <v>2341</v>
      </c>
      <c r="E659" s="13">
        <v>1</v>
      </c>
      <c r="F659" s="111">
        <v>2612</v>
      </c>
      <c r="G659" s="13" t="s">
        <v>2342</v>
      </c>
      <c r="H659" s="14" t="s">
        <v>554</v>
      </c>
      <c r="I659" s="14" t="s">
        <v>2343</v>
      </c>
      <c r="J659" s="12" t="s">
        <v>555</v>
      </c>
      <c r="K659" s="15" t="s">
        <v>2344</v>
      </c>
      <c r="O659" s="11" t="s">
        <v>2345</v>
      </c>
    </row>
    <row r="660" spans="1:15" hidden="1" x14ac:dyDescent="0.25">
      <c r="A660" s="11" t="s">
        <v>21</v>
      </c>
      <c r="B660" s="11" t="s">
        <v>863</v>
      </c>
      <c r="C660" s="12" t="s">
        <v>1651</v>
      </c>
      <c r="D660" s="12" t="s">
        <v>2346</v>
      </c>
      <c r="E660" s="13">
        <v>1</v>
      </c>
      <c r="F660" s="111">
        <v>2612</v>
      </c>
      <c r="G660" s="13" t="s">
        <v>2347</v>
      </c>
      <c r="H660" s="14" t="s">
        <v>274</v>
      </c>
      <c r="I660" s="14" t="s">
        <v>2348</v>
      </c>
      <c r="J660" s="12" t="s">
        <v>1925</v>
      </c>
      <c r="K660" s="15" t="s">
        <v>2349</v>
      </c>
      <c r="O660" s="11" t="s">
        <v>2350</v>
      </c>
    </row>
    <row r="661" spans="1:15" hidden="1" x14ac:dyDescent="0.25">
      <c r="A661" s="11" t="s">
        <v>21</v>
      </c>
      <c r="B661" s="11" t="s">
        <v>863</v>
      </c>
      <c r="C661" s="12" t="s">
        <v>1651</v>
      </c>
      <c r="D661" s="12" t="s">
        <v>1877</v>
      </c>
      <c r="E661" s="13">
        <v>1</v>
      </c>
      <c r="F661" s="111">
        <v>2613</v>
      </c>
      <c r="G661" s="13" t="s">
        <v>1878</v>
      </c>
      <c r="H661" s="14" t="s">
        <v>554</v>
      </c>
      <c r="I661" s="14" t="s">
        <v>1879</v>
      </c>
      <c r="J661" s="12" t="s">
        <v>555</v>
      </c>
      <c r="K661" s="15" t="s">
        <v>1880</v>
      </c>
      <c r="O661" s="11" t="s">
        <v>1881</v>
      </c>
    </row>
    <row r="662" spans="1:15" hidden="1" x14ac:dyDescent="0.25">
      <c r="A662" s="11" t="s">
        <v>21</v>
      </c>
      <c r="B662" s="11" t="s">
        <v>863</v>
      </c>
      <c r="C662" s="12" t="s">
        <v>1651</v>
      </c>
      <c r="D662" s="12" t="s">
        <v>1882</v>
      </c>
      <c r="E662" s="13">
        <v>1</v>
      </c>
      <c r="F662" s="111">
        <v>2613</v>
      </c>
      <c r="G662" s="13" t="s">
        <v>1883</v>
      </c>
      <c r="H662" s="14" t="s">
        <v>554</v>
      </c>
      <c r="I662" s="14" t="s">
        <v>1884</v>
      </c>
      <c r="J662" s="12" t="s">
        <v>555</v>
      </c>
      <c r="K662" s="15" t="s">
        <v>1885</v>
      </c>
      <c r="O662" s="11" t="s">
        <v>1886</v>
      </c>
    </row>
    <row r="663" spans="1:15" hidden="1" x14ac:dyDescent="0.25">
      <c r="A663" s="11" t="s">
        <v>21</v>
      </c>
      <c r="B663" s="11" t="s">
        <v>863</v>
      </c>
      <c r="C663" s="12" t="s">
        <v>1651</v>
      </c>
      <c r="D663" s="12" t="s">
        <v>1887</v>
      </c>
      <c r="E663" s="13">
        <v>1</v>
      </c>
      <c r="F663" s="111">
        <v>2613</v>
      </c>
      <c r="G663" s="13" t="s">
        <v>1888</v>
      </c>
      <c r="H663" s="14" t="s">
        <v>554</v>
      </c>
      <c r="I663" s="14" t="s">
        <v>1889</v>
      </c>
      <c r="J663" s="12" t="s">
        <v>555</v>
      </c>
      <c r="K663" s="15" t="s">
        <v>1890</v>
      </c>
      <c r="O663" s="11" t="s">
        <v>1891</v>
      </c>
    </row>
    <row r="664" spans="1:15" hidden="1" x14ac:dyDescent="0.25">
      <c r="A664" s="11" t="s">
        <v>21</v>
      </c>
      <c r="B664" s="11" t="s">
        <v>863</v>
      </c>
      <c r="C664" s="12" t="s">
        <v>1651</v>
      </c>
      <c r="D664" s="12" t="s">
        <v>1892</v>
      </c>
      <c r="E664" s="13">
        <v>1</v>
      </c>
      <c r="F664" s="111">
        <v>2613</v>
      </c>
      <c r="G664" s="13" t="s">
        <v>1893</v>
      </c>
      <c r="H664" s="14" t="s">
        <v>554</v>
      </c>
      <c r="I664" s="14" t="s">
        <v>1894</v>
      </c>
      <c r="J664" s="12" t="s">
        <v>555</v>
      </c>
      <c r="K664" s="15" t="s">
        <v>1895</v>
      </c>
      <c r="O664" s="11" t="s">
        <v>1896</v>
      </c>
    </row>
    <row r="665" spans="1:15" hidden="1" x14ac:dyDescent="0.25">
      <c r="A665" s="11" t="s">
        <v>21</v>
      </c>
      <c r="B665" s="11" t="s">
        <v>863</v>
      </c>
      <c r="C665" s="12" t="s">
        <v>1651</v>
      </c>
      <c r="D665" s="12" t="s">
        <v>1897</v>
      </c>
      <c r="E665" s="13">
        <v>1</v>
      </c>
      <c r="F665" s="111">
        <v>2613</v>
      </c>
      <c r="G665" s="13" t="s">
        <v>1898</v>
      </c>
      <c r="H665" s="14" t="s">
        <v>554</v>
      </c>
      <c r="I665" s="14" t="s">
        <v>1899</v>
      </c>
      <c r="J665" s="12" t="s">
        <v>555</v>
      </c>
      <c r="K665" s="15" t="s">
        <v>1900</v>
      </c>
      <c r="O665" s="11" t="s">
        <v>1901</v>
      </c>
    </row>
    <row r="666" spans="1:15" hidden="1" x14ac:dyDescent="0.25">
      <c r="A666" s="11" t="s">
        <v>21</v>
      </c>
      <c r="B666" s="11" t="s">
        <v>863</v>
      </c>
      <c r="C666" s="12" t="s">
        <v>1651</v>
      </c>
      <c r="D666" s="12" t="s">
        <v>1902</v>
      </c>
      <c r="E666" s="13">
        <v>1</v>
      </c>
      <c r="F666" s="111">
        <v>2613</v>
      </c>
      <c r="G666" s="13" t="s">
        <v>1903</v>
      </c>
      <c r="H666" s="14" t="s">
        <v>554</v>
      </c>
      <c r="I666" s="14" t="s">
        <v>1904</v>
      </c>
      <c r="J666" s="12" t="s">
        <v>555</v>
      </c>
      <c r="K666" s="15" t="s">
        <v>1905</v>
      </c>
      <c r="O666" s="11" t="s">
        <v>1906</v>
      </c>
    </row>
    <row r="667" spans="1:15" hidden="1" x14ac:dyDescent="0.25">
      <c r="A667" s="11" t="s">
        <v>21</v>
      </c>
      <c r="B667" s="11" t="s">
        <v>863</v>
      </c>
      <c r="C667" s="12" t="s">
        <v>1651</v>
      </c>
      <c r="D667" s="12" t="s">
        <v>1907</v>
      </c>
      <c r="E667" s="13">
        <v>1</v>
      </c>
      <c r="F667" s="111">
        <v>2613</v>
      </c>
      <c r="G667" s="13" t="s">
        <v>1908</v>
      </c>
      <c r="H667" s="14" t="s">
        <v>554</v>
      </c>
      <c r="I667" s="14" t="s">
        <v>1909</v>
      </c>
      <c r="J667" s="12" t="s">
        <v>555</v>
      </c>
      <c r="K667" s="15" t="s">
        <v>1910</v>
      </c>
      <c r="O667" s="11" t="s">
        <v>1911</v>
      </c>
    </row>
    <row r="668" spans="1:15" hidden="1" x14ac:dyDescent="0.25">
      <c r="A668" s="11" t="s">
        <v>21</v>
      </c>
      <c r="B668" s="11" t="s">
        <v>863</v>
      </c>
      <c r="C668" s="12" t="s">
        <v>1651</v>
      </c>
      <c r="D668" s="12" t="s">
        <v>1912</v>
      </c>
      <c r="E668" s="13">
        <v>1</v>
      </c>
      <c r="F668" s="111">
        <v>2613</v>
      </c>
      <c r="G668" s="13" t="s">
        <v>1913</v>
      </c>
      <c r="H668" s="14" t="s">
        <v>554</v>
      </c>
      <c r="I668" s="14" t="s">
        <v>1914</v>
      </c>
      <c r="J668" s="12" t="s">
        <v>555</v>
      </c>
      <c r="K668" s="15" t="s">
        <v>1915</v>
      </c>
      <c r="O668" s="11" t="s">
        <v>1916</v>
      </c>
    </row>
    <row r="669" spans="1:15" hidden="1" x14ac:dyDescent="0.25">
      <c r="A669" s="11" t="s">
        <v>21</v>
      </c>
      <c r="B669" s="11" t="s">
        <v>863</v>
      </c>
      <c r="C669" s="12" t="s">
        <v>1651</v>
      </c>
      <c r="D669" s="12" t="s">
        <v>1917</v>
      </c>
      <c r="E669" s="13">
        <v>1</v>
      </c>
      <c r="F669" s="111">
        <v>2613</v>
      </c>
      <c r="G669" s="13" t="s">
        <v>1918</v>
      </c>
      <c r="H669" s="14" t="s">
        <v>554</v>
      </c>
      <c r="I669" s="14" t="s">
        <v>1919</v>
      </c>
      <c r="J669" s="12" t="s">
        <v>555</v>
      </c>
      <c r="K669" s="15" t="s">
        <v>1920</v>
      </c>
      <c r="O669" s="11" t="s">
        <v>1921</v>
      </c>
    </row>
    <row r="670" spans="1:15" hidden="1" x14ac:dyDescent="0.25">
      <c r="A670" s="11" t="s">
        <v>21</v>
      </c>
      <c r="B670" s="11" t="s">
        <v>863</v>
      </c>
      <c r="C670" s="12" t="s">
        <v>1651</v>
      </c>
      <c r="D670" s="12" t="s">
        <v>1922</v>
      </c>
      <c r="E670" s="13">
        <v>1</v>
      </c>
      <c r="F670" s="111">
        <v>2613</v>
      </c>
      <c r="G670" s="13" t="s">
        <v>1923</v>
      </c>
      <c r="H670" s="14" t="s">
        <v>274</v>
      </c>
      <c r="I670" s="14" t="s">
        <v>1924</v>
      </c>
      <c r="J670" s="12" t="s">
        <v>1925</v>
      </c>
      <c r="K670" s="15" t="s">
        <v>1926</v>
      </c>
      <c r="O670" s="11" t="s">
        <v>1927</v>
      </c>
    </row>
    <row r="671" spans="1:15" hidden="1" x14ac:dyDescent="0.25">
      <c r="A671" s="11" t="s">
        <v>21</v>
      </c>
      <c r="B671" s="11" t="s">
        <v>863</v>
      </c>
      <c r="C671" s="12" t="s">
        <v>1651</v>
      </c>
      <c r="D671" s="12" t="s">
        <v>1928</v>
      </c>
      <c r="E671" s="13">
        <v>1</v>
      </c>
      <c r="F671" s="111">
        <v>2613</v>
      </c>
      <c r="G671" s="13" t="s">
        <v>1929</v>
      </c>
      <c r="H671" s="14" t="s">
        <v>554</v>
      </c>
      <c r="I671" s="14" t="s">
        <v>1930</v>
      </c>
      <c r="J671" s="12" t="s">
        <v>555</v>
      </c>
      <c r="K671" s="15" t="s">
        <v>1931</v>
      </c>
      <c r="O671" s="11" t="s">
        <v>1932</v>
      </c>
    </row>
    <row r="672" spans="1:15" hidden="1" x14ac:dyDescent="0.25">
      <c r="A672" s="11" t="s">
        <v>21</v>
      </c>
      <c r="B672" s="11" t="s">
        <v>863</v>
      </c>
      <c r="C672" s="12" t="s">
        <v>1651</v>
      </c>
      <c r="D672" s="12" t="s">
        <v>2109</v>
      </c>
      <c r="E672" s="13">
        <v>1</v>
      </c>
      <c r="F672" s="111">
        <v>2614</v>
      </c>
      <c r="G672" s="13" t="s">
        <v>2110</v>
      </c>
      <c r="H672" s="14" t="s">
        <v>554</v>
      </c>
      <c r="I672" s="14" t="s">
        <v>2111</v>
      </c>
      <c r="J672" s="12" t="s">
        <v>555</v>
      </c>
      <c r="K672" s="15" t="s">
        <v>2112</v>
      </c>
      <c r="O672" s="11" t="s">
        <v>2113</v>
      </c>
    </row>
    <row r="673" spans="1:15" hidden="1" x14ac:dyDescent="0.25">
      <c r="A673" s="11" t="s">
        <v>21</v>
      </c>
      <c r="B673" s="11" t="s">
        <v>863</v>
      </c>
      <c r="C673" s="12" t="s">
        <v>1651</v>
      </c>
      <c r="D673" s="12" t="s">
        <v>2114</v>
      </c>
      <c r="E673" s="13">
        <v>1</v>
      </c>
      <c r="F673" s="111">
        <v>2614</v>
      </c>
      <c r="G673" s="13" t="s">
        <v>2115</v>
      </c>
      <c r="H673" s="14" t="s">
        <v>554</v>
      </c>
      <c r="I673" s="14" t="s">
        <v>2116</v>
      </c>
      <c r="J673" s="12" t="s">
        <v>555</v>
      </c>
      <c r="K673" s="15" t="s">
        <v>2117</v>
      </c>
      <c r="O673" s="11" t="s">
        <v>2118</v>
      </c>
    </row>
    <row r="674" spans="1:15" hidden="1" x14ac:dyDescent="0.25">
      <c r="A674" s="11" t="s">
        <v>21</v>
      </c>
      <c r="B674" s="11" t="s">
        <v>863</v>
      </c>
      <c r="C674" s="12" t="s">
        <v>1651</v>
      </c>
      <c r="D674" s="12" t="s">
        <v>2119</v>
      </c>
      <c r="E674" s="13">
        <v>1</v>
      </c>
      <c r="F674" s="111">
        <v>2614</v>
      </c>
      <c r="G674" s="13" t="s">
        <v>2120</v>
      </c>
      <c r="H674" s="14" t="s">
        <v>554</v>
      </c>
      <c r="I674" s="14" t="s">
        <v>2121</v>
      </c>
      <c r="J674" s="12" t="s">
        <v>555</v>
      </c>
      <c r="K674" s="15" t="s">
        <v>2122</v>
      </c>
      <c r="O674" s="11" t="s">
        <v>2123</v>
      </c>
    </row>
    <row r="675" spans="1:15" hidden="1" x14ac:dyDescent="0.25">
      <c r="A675" s="11" t="s">
        <v>21</v>
      </c>
      <c r="B675" s="11" t="s">
        <v>863</v>
      </c>
      <c r="C675" s="12" t="s">
        <v>1651</v>
      </c>
      <c r="D675" s="12" t="s">
        <v>2124</v>
      </c>
      <c r="E675" s="13">
        <v>1</v>
      </c>
      <c r="F675" s="111">
        <v>2614</v>
      </c>
      <c r="G675" s="13" t="s">
        <v>2125</v>
      </c>
      <c r="H675" s="14" t="s">
        <v>274</v>
      </c>
      <c r="I675" s="14" t="s">
        <v>2126</v>
      </c>
      <c r="J675" s="12" t="s">
        <v>1925</v>
      </c>
      <c r="K675" s="15" t="s">
        <v>2127</v>
      </c>
      <c r="O675" s="11" t="s">
        <v>2128</v>
      </c>
    </row>
    <row r="676" spans="1:15" hidden="1" x14ac:dyDescent="0.25">
      <c r="A676" s="11" t="s">
        <v>21</v>
      </c>
      <c r="B676" s="11" t="s">
        <v>863</v>
      </c>
      <c r="C676" s="12" t="s">
        <v>1651</v>
      </c>
      <c r="D676" s="12" t="s">
        <v>2129</v>
      </c>
      <c r="E676" s="13">
        <v>1</v>
      </c>
      <c r="F676" s="111">
        <v>2614</v>
      </c>
      <c r="G676" s="13" t="s">
        <v>2130</v>
      </c>
      <c r="H676" s="14" t="s">
        <v>554</v>
      </c>
      <c r="I676" s="14" t="s">
        <v>2131</v>
      </c>
      <c r="J676" s="12" t="s">
        <v>555</v>
      </c>
      <c r="K676" s="15" t="s">
        <v>2132</v>
      </c>
      <c r="O676" s="11" t="s">
        <v>2133</v>
      </c>
    </row>
    <row r="677" spans="1:15" hidden="1" x14ac:dyDescent="0.25">
      <c r="A677" s="11" t="s">
        <v>21</v>
      </c>
      <c r="B677" s="11" t="s">
        <v>863</v>
      </c>
      <c r="C677" s="12" t="s">
        <v>1651</v>
      </c>
      <c r="D677" s="12" t="s">
        <v>2134</v>
      </c>
      <c r="E677" s="13">
        <v>1</v>
      </c>
      <c r="F677" s="111">
        <v>2614</v>
      </c>
      <c r="G677" s="13" t="s">
        <v>2135</v>
      </c>
      <c r="H677" s="14" t="s">
        <v>554</v>
      </c>
      <c r="I677" s="14" t="s">
        <v>2136</v>
      </c>
      <c r="J677" s="12" t="s">
        <v>555</v>
      </c>
      <c r="K677" s="15" t="s">
        <v>2137</v>
      </c>
      <c r="O677" s="11" t="s">
        <v>2138</v>
      </c>
    </row>
    <row r="678" spans="1:15" hidden="1" x14ac:dyDescent="0.25">
      <c r="A678" s="11" t="s">
        <v>21</v>
      </c>
      <c r="B678" s="11" t="s">
        <v>863</v>
      </c>
      <c r="C678" s="12" t="s">
        <v>1651</v>
      </c>
      <c r="D678" s="12" t="s">
        <v>2139</v>
      </c>
      <c r="E678" s="13">
        <v>1</v>
      </c>
      <c r="F678" s="111">
        <v>2614</v>
      </c>
      <c r="G678" s="13" t="s">
        <v>2140</v>
      </c>
      <c r="H678" s="14" t="s">
        <v>554</v>
      </c>
      <c r="I678" s="14" t="s">
        <v>2141</v>
      </c>
      <c r="J678" s="12" t="s">
        <v>555</v>
      </c>
      <c r="K678" s="15" t="s">
        <v>2142</v>
      </c>
      <c r="O678" s="11" t="s">
        <v>2143</v>
      </c>
    </row>
    <row r="679" spans="1:15" hidden="1" x14ac:dyDescent="0.25">
      <c r="A679" s="11" t="s">
        <v>2</v>
      </c>
      <c r="D679" s="12" t="s">
        <v>300</v>
      </c>
      <c r="G679" s="13" t="s">
        <v>301</v>
      </c>
      <c r="H679" s="14" t="s">
        <v>283</v>
      </c>
      <c r="I679" s="14" t="s">
        <v>302</v>
      </c>
      <c r="K679" s="15" t="s">
        <v>303</v>
      </c>
      <c r="O679" s="11" t="s">
        <v>3263</v>
      </c>
    </row>
    <row r="680" spans="1:15" hidden="1" x14ac:dyDescent="0.25">
      <c r="A680" s="11" t="s">
        <v>21</v>
      </c>
      <c r="B680" s="11" t="s">
        <v>863</v>
      </c>
      <c r="C680" s="12" t="s">
        <v>864</v>
      </c>
      <c r="D680" s="12" t="s">
        <v>1646</v>
      </c>
      <c r="E680" s="13">
        <v>1</v>
      </c>
      <c r="F680" s="111">
        <v>2711</v>
      </c>
      <c r="G680" s="13" t="s">
        <v>1647</v>
      </c>
      <c r="H680" s="14" t="s">
        <v>274</v>
      </c>
      <c r="I680" s="14" t="s">
        <v>1648</v>
      </c>
      <c r="J680" s="12" t="s">
        <v>661</v>
      </c>
      <c r="K680" s="15" t="s">
        <v>1649</v>
      </c>
      <c r="O680" s="11" t="s">
        <v>1650</v>
      </c>
    </row>
    <row r="681" spans="1:15" hidden="1" x14ac:dyDescent="0.25">
      <c r="A681" s="11" t="s">
        <v>21</v>
      </c>
      <c r="B681" s="11" t="s">
        <v>863</v>
      </c>
      <c r="C681" s="12" t="s">
        <v>864</v>
      </c>
      <c r="D681" s="12" t="s">
        <v>1791</v>
      </c>
      <c r="E681" s="13">
        <v>1</v>
      </c>
      <c r="F681" s="111">
        <v>2711</v>
      </c>
      <c r="G681" s="13" t="s">
        <v>1796</v>
      </c>
      <c r="H681" s="14" t="s">
        <v>274</v>
      </c>
      <c r="I681" s="14" t="s">
        <v>1797</v>
      </c>
      <c r="J681" s="12" t="s">
        <v>661</v>
      </c>
      <c r="K681" s="15" t="s">
        <v>1798</v>
      </c>
      <c r="O681" s="11" t="s">
        <v>1795</v>
      </c>
    </row>
    <row r="682" spans="1:15" hidden="1" x14ac:dyDescent="0.25">
      <c r="A682" s="11" t="s">
        <v>21</v>
      </c>
      <c r="B682" s="11" t="s">
        <v>863</v>
      </c>
      <c r="C682" s="12" t="s">
        <v>864</v>
      </c>
      <c r="D682" s="12" t="s">
        <v>1791</v>
      </c>
      <c r="E682" s="13">
        <v>2</v>
      </c>
      <c r="F682" s="111">
        <v>2711</v>
      </c>
      <c r="G682" s="13" t="s">
        <v>1792</v>
      </c>
      <c r="H682" s="14" t="s">
        <v>274</v>
      </c>
      <c r="I682" s="14" t="s">
        <v>1793</v>
      </c>
      <c r="J682" s="12" t="s">
        <v>661</v>
      </c>
      <c r="K682" s="15" t="s">
        <v>1794</v>
      </c>
      <c r="O682" s="11" t="s">
        <v>1795</v>
      </c>
    </row>
    <row r="683" spans="1:15" hidden="1" x14ac:dyDescent="0.25">
      <c r="A683" s="11" t="s">
        <v>21</v>
      </c>
      <c r="B683" s="11" t="s">
        <v>845</v>
      </c>
      <c r="C683" s="12" t="s">
        <v>846</v>
      </c>
      <c r="D683" s="12" t="s">
        <v>847</v>
      </c>
      <c r="E683" s="13">
        <v>1</v>
      </c>
      <c r="F683" s="111">
        <v>2802</v>
      </c>
      <c r="G683" s="13" t="s">
        <v>848</v>
      </c>
      <c r="H683" s="14" t="s">
        <v>554</v>
      </c>
      <c r="I683" s="14" t="s">
        <v>849</v>
      </c>
      <c r="J683" s="12" t="s">
        <v>555</v>
      </c>
      <c r="K683" s="15" t="s">
        <v>850</v>
      </c>
      <c r="O683" s="11" t="s">
        <v>851</v>
      </c>
    </row>
    <row r="684" spans="1:15" hidden="1" x14ac:dyDescent="0.25">
      <c r="A684" s="11" t="s">
        <v>0</v>
      </c>
      <c r="B684" s="11" t="s">
        <v>863</v>
      </c>
      <c r="C684" s="12" t="s">
        <v>1327</v>
      </c>
      <c r="D684" s="12" t="s">
        <v>1514</v>
      </c>
      <c r="E684" s="13">
        <v>1</v>
      </c>
      <c r="F684" s="111">
        <v>2803</v>
      </c>
      <c r="G684" s="13" t="s">
        <v>1515</v>
      </c>
      <c r="H684" s="14" t="s">
        <v>274</v>
      </c>
      <c r="I684" s="14" t="s">
        <v>1516</v>
      </c>
      <c r="J684" s="12" t="s">
        <v>559</v>
      </c>
      <c r="K684" s="15" t="s">
        <v>1517</v>
      </c>
      <c r="O684" s="11" t="s">
        <v>1518</v>
      </c>
    </row>
    <row r="685" spans="1:15" hidden="1" x14ac:dyDescent="0.25">
      <c r="A685" s="11" t="s">
        <v>21</v>
      </c>
      <c r="B685" s="11" t="s">
        <v>863</v>
      </c>
      <c r="C685" s="12" t="s">
        <v>1651</v>
      </c>
      <c r="D685" s="12" t="s">
        <v>1322</v>
      </c>
      <c r="E685" s="13">
        <v>1</v>
      </c>
      <c r="F685" s="111">
        <v>2803</v>
      </c>
      <c r="G685" s="13" t="s">
        <v>1678</v>
      </c>
      <c r="H685" s="14" t="s">
        <v>274</v>
      </c>
      <c r="I685" s="14" t="s">
        <v>1679</v>
      </c>
      <c r="J685" s="12" t="s">
        <v>661</v>
      </c>
      <c r="K685" s="15" t="s">
        <v>1680</v>
      </c>
      <c r="O685" s="11" t="s">
        <v>1681</v>
      </c>
    </row>
    <row r="686" spans="1:15" hidden="1" x14ac:dyDescent="0.25">
      <c r="A686" s="11" t="s">
        <v>0</v>
      </c>
      <c r="B686" s="11" t="s">
        <v>863</v>
      </c>
      <c r="C686" s="12" t="s">
        <v>1138</v>
      </c>
      <c r="D686" s="12" t="s">
        <v>1514</v>
      </c>
      <c r="E686" s="13">
        <v>1</v>
      </c>
      <c r="F686" s="111">
        <v>2803</v>
      </c>
      <c r="G686" s="13" t="s">
        <v>1731</v>
      </c>
      <c r="H686" s="14" t="s">
        <v>274</v>
      </c>
      <c r="I686" s="14" t="s">
        <v>1732</v>
      </c>
      <c r="J686" s="12" t="s">
        <v>661</v>
      </c>
      <c r="K686" s="15" t="s">
        <v>1733</v>
      </c>
      <c r="O686" s="11" t="s">
        <v>1518</v>
      </c>
    </row>
    <row r="687" spans="1:15" hidden="1" x14ac:dyDescent="0.25">
      <c r="A687" s="11" t="s">
        <v>0</v>
      </c>
      <c r="B687" s="11" t="s">
        <v>863</v>
      </c>
      <c r="C687" s="12" t="s">
        <v>42</v>
      </c>
      <c r="D687" s="12" t="s">
        <v>1778</v>
      </c>
      <c r="E687" s="13">
        <v>1</v>
      </c>
      <c r="F687" s="111">
        <v>2112</v>
      </c>
      <c r="G687" s="13" t="s">
        <v>1779</v>
      </c>
      <c r="H687" s="14" t="s">
        <v>274</v>
      </c>
      <c r="I687" s="14" t="s">
        <v>1780</v>
      </c>
      <c r="J687" s="12" t="s">
        <v>559</v>
      </c>
      <c r="K687" s="15" t="s">
        <v>1781</v>
      </c>
      <c r="O687" s="11" t="s">
        <v>1782</v>
      </c>
    </row>
    <row r="688" spans="1:15" hidden="1" x14ac:dyDescent="0.25">
      <c r="A688" s="11" t="s">
        <v>21</v>
      </c>
      <c r="B688" s="11" t="s">
        <v>863</v>
      </c>
      <c r="C688" s="12" t="s">
        <v>1651</v>
      </c>
      <c r="D688" s="12" t="s">
        <v>1652</v>
      </c>
      <c r="E688" s="13">
        <v>1</v>
      </c>
      <c r="F688" s="111">
        <v>2804</v>
      </c>
      <c r="G688" s="13" t="s">
        <v>1653</v>
      </c>
      <c r="H688" s="14" t="s">
        <v>274</v>
      </c>
      <c r="I688" s="14" t="s">
        <v>1654</v>
      </c>
      <c r="J688" s="12" t="s">
        <v>559</v>
      </c>
      <c r="K688" s="15" t="s">
        <v>1655</v>
      </c>
      <c r="O688" s="11" t="s">
        <v>1656</v>
      </c>
    </row>
    <row r="689" spans="1:15" hidden="1" x14ac:dyDescent="0.25">
      <c r="A689" s="11" t="s">
        <v>21</v>
      </c>
      <c r="B689" s="11" t="s">
        <v>863</v>
      </c>
      <c r="C689" s="12" t="s">
        <v>864</v>
      </c>
      <c r="D689" s="12" t="s">
        <v>865</v>
      </c>
      <c r="E689" s="13">
        <v>1</v>
      </c>
      <c r="F689" s="111">
        <v>2805</v>
      </c>
      <c r="G689" s="13" t="s">
        <v>866</v>
      </c>
      <c r="H689" s="14" t="s">
        <v>274</v>
      </c>
      <c r="I689" s="14" t="s">
        <v>867</v>
      </c>
      <c r="J689" s="12" t="s">
        <v>661</v>
      </c>
      <c r="K689" s="15" t="s">
        <v>868</v>
      </c>
      <c r="O689" s="11" t="s">
        <v>869</v>
      </c>
    </row>
    <row r="690" spans="1:15" hidden="1" x14ac:dyDescent="0.25">
      <c r="A690" s="11" t="s">
        <v>21</v>
      </c>
      <c r="B690" s="11" t="s">
        <v>729</v>
      </c>
      <c r="C690" s="12" t="s">
        <v>42</v>
      </c>
      <c r="D690" s="12" t="s">
        <v>562</v>
      </c>
      <c r="E690" s="13">
        <v>1</v>
      </c>
      <c r="F690" s="111">
        <v>2900</v>
      </c>
      <c r="G690" s="13" t="s">
        <v>730</v>
      </c>
      <c r="H690" s="14" t="s">
        <v>554</v>
      </c>
      <c r="I690" s="14" t="s">
        <v>731</v>
      </c>
      <c r="J690" s="12" t="s">
        <v>555</v>
      </c>
      <c r="K690" s="15" t="s">
        <v>732</v>
      </c>
      <c r="O690" s="11" t="s">
        <v>733</v>
      </c>
    </row>
    <row r="691" spans="1:15" hidden="1" x14ac:dyDescent="0.25">
      <c r="A691" s="11" t="s">
        <v>21</v>
      </c>
      <c r="B691" s="11" t="s">
        <v>2360</v>
      </c>
      <c r="C691" s="12" t="s">
        <v>2785</v>
      </c>
      <c r="D691" s="12" t="s">
        <v>2786</v>
      </c>
      <c r="E691" s="13">
        <v>1</v>
      </c>
      <c r="F691" s="111">
        <v>3011</v>
      </c>
      <c r="G691" s="13" t="s">
        <v>3002</v>
      </c>
      <c r="H691" s="14" t="s">
        <v>274</v>
      </c>
      <c r="I691" s="14" t="s">
        <v>3003</v>
      </c>
      <c r="J691" s="12" t="s">
        <v>661</v>
      </c>
      <c r="K691" s="15" t="s">
        <v>3004</v>
      </c>
      <c r="O691" s="11" t="s">
        <v>2986</v>
      </c>
    </row>
    <row r="692" spans="1:15" hidden="1" x14ac:dyDescent="0.25">
      <c r="A692" s="11" t="s">
        <v>21</v>
      </c>
      <c r="B692" s="11" t="s">
        <v>2360</v>
      </c>
      <c r="C692" s="12" t="s">
        <v>2785</v>
      </c>
      <c r="D692" s="12" t="s">
        <v>2786</v>
      </c>
      <c r="E692" s="13">
        <v>2</v>
      </c>
      <c r="F692" s="111">
        <v>3011</v>
      </c>
      <c r="G692" s="13" t="s">
        <v>2999</v>
      </c>
      <c r="H692" s="14" t="s">
        <v>274</v>
      </c>
      <c r="I692" s="14" t="s">
        <v>3000</v>
      </c>
      <c r="J692" s="12" t="s">
        <v>661</v>
      </c>
      <c r="K692" s="15" t="s">
        <v>3001</v>
      </c>
      <c r="O692" s="11" t="s">
        <v>2986</v>
      </c>
    </row>
    <row r="693" spans="1:15" hidden="1" x14ac:dyDescent="0.25">
      <c r="A693" s="11" t="s">
        <v>21</v>
      </c>
      <c r="B693" s="11" t="s">
        <v>2360</v>
      </c>
      <c r="C693" s="12" t="s">
        <v>2785</v>
      </c>
      <c r="D693" s="12" t="s">
        <v>2786</v>
      </c>
      <c r="E693" s="13">
        <v>3</v>
      </c>
      <c r="F693" s="111">
        <v>3011</v>
      </c>
      <c r="G693" s="13" t="s">
        <v>2996</v>
      </c>
      <c r="H693" s="14" t="s">
        <v>274</v>
      </c>
      <c r="I693" s="14" t="s">
        <v>2997</v>
      </c>
      <c r="J693" s="12" t="s">
        <v>661</v>
      </c>
      <c r="K693" s="15" t="s">
        <v>2998</v>
      </c>
      <c r="O693" s="11" t="s">
        <v>2986</v>
      </c>
    </row>
    <row r="694" spans="1:15" hidden="1" x14ac:dyDescent="0.25">
      <c r="A694" s="11" t="s">
        <v>21</v>
      </c>
      <c r="B694" s="11" t="s">
        <v>2360</v>
      </c>
      <c r="C694" s="12" t="s">
        <v>2785</v>
      </c>
      <c r="D694" s="12" t="s">
        <v>2786</v>
      </c>
      <c r="E694" s="13">
        <v>4</v>
      </c>
      <c r="F694" s="111">
        <v>3011</v>
      </c>
      <c r="G694" s="13" t="s">
        <v>2993</v>
      </c>
      <c r="H694" s="14" t="s">
        <v>274</v>
      </c>
      <c r="I694" s="14" t="s">
        <v>2994</v>
      </c>
      <c r="J694" s="12" t="s">
        <v>661</v>
      </c>
      <c r="K694" s="15" t="s">
        <v>2995</v>
      </c>
      <c r="O694" s="11" t="s">
        <v>2986</v>
      </c>
    </row>
    <row r="695" spans="1:15" hidden="1" x14ac:dyDescent="0.25">
      <c r="A695" s="11" t="s">
        <v>21</v>
      </c>
      <c r="B695" s="11" t="s">
        <v>2360</v>
      </c>
      <c r="C695" s="12" t="s">
        <v>2785</v>
      </c>
      <c r="D695" s="12" t="s">
        <v>2786</v>
      </c>
      <c r="E695" s="13">
        <v>5</v>
      </c>
      <c r="F695" s="111">
        <v>3011</v>
      </c>
      <c r="G695" s="13" t="s">
        <v>2990</v>
      </c>
      <c r="H695" s="14" t="s">
        <v>274</v>
      </c>
      <c r="I695" s="14" t="s">
        <v>2991</v>
      </c>
      <c r="J695" s="12" t="s">
        <v>661</v>
      </c>
      <c r="K695" s="15" t="s">
        <v>2992</v>
      </c>
      <c r="O695" s="11" t="s">
        <v>2986</v>
      </c>
    </row>
    <row r="696" spans="1:15" hidden="1" x14ac:dyDescent="0.25">
      <c r="A696" s="11" t="s">
        <v>21</v>
      </c>
      <c r="B696" s="11" t="s">
        <v>2360</v>
      </c>
      <c r="C696" s="12" t="s">
        <v>2785</v>
      </c>
      <c r="D696" s="12" t="s">
        <v>2786</v>
      </c>
      <c r="E696" s="13">
        <v>6</v>
      </c>
      <c r="F696" s="111">
        <v>3011</v>
      </c>
      <c r="G696" s="13" t="s">
        <v>2987</v>
      </c>
      <c r="H696" s="14" t="s">
        <v>274</v>
      </c>
      <c r="I696" s="14" t="s">
        <v>2988</v>
      </c>
      <c r="J696" s="12" t="s">
        <v>661</v>
      </c>
      <c r="K696" s="15" t="s">
        <v>2989</v>
      </c>
      <c r="O696" s="11" t="s">
        <v>2986</v>
      </c>
    </row>
    <row r="697" spans="1:15" hidden="1" x14ac:dyDescent="0.25">
      <c r="A697" s="11" t="s">
        <v>21</v>
      </c>
      <c r="B697" s="11" t="s">
        <v>2360</v>
      </c>
      <c r="C697" s="12" t="s">
        <v>2785</v>
      </c>
      <c r="D697" s="12" t="s">
        <v>2786</v>
      </c>
      <c r="E697" s="13">
        <v>7</v>
      </c>
      <c r="F697" s="111">
        <v>3011</v>
      </c>
      <c r="G697" s="13" t="s">
        <v>2983</v>
      </c>
      <c r="H697" s="14" t="s">
        <v>274</v>
      </c>
      <c r="I697" s="14" t="s">
        <v>2984</v>
      </c>
      <c r="J697" s="12" t="s">
        <v>661</v>
      </c>
      <c r="K697" s="15" t="s">
        <v>2985</v>
      </c>
      <c r="O697" s="11" t="s">
        <v>2986</v>
      </c>
    </row>
    <row r="698" spans="1:15" hidden="1" x14ac:dyDescent="0.25">
      <c r="A698" s="11" t="s">
        <v>134</v>
      </c>
      <c r="D698" s="12" t="s">
        <v>168</v>
      </c>
      <c r="G698" s="13" t="s">
        <v>169</v>
      </c>
      <c r="H698" s="14" t="s">
        <v>168</v>
      </c>
      <c r="I698" s="14" t="s">
        <v>170</v>
      </c>
      <c r="K698" s="15" t="s">
        <v>171</v>
      </c>
      <c r="O698" s="11" t="s">
        <v>3263</v>
      </c>
    </row>
    <row r="699" spans="1:15" hidden="1" x14ac:dyDescent="0.25">
      <c r="A699" s="11" t="s">
        <v>134</v>
      </c>
      <c r="D699" s="12" t="s">
        <v>173</v>
      </c>
      <c r="G699" s="13" t="s">
        <v>174</v>
      </c>
      <c r="H699" s="14" t="s">
        <v>175</v>
      </c>
      <c r="I699" s="14" t="s">
        <v>176</v>
      </c>
      <c r="K699" s="15" t="s">
        <v>177</v>
      </c>
      <c r="O699" s="11" t="s">
        <v>3263</v>
      </c>
    </row>
    <row r="700" spans="1:15" hidden="1" x14ac:dyDescent="0.25">
      <c r="A700" s="11" t="s">
        <v>21</v>
      </c>
      <c r="B700" s="11" t="s">
        <v>2360</v>
      </c>
      <c r="C700" s="12" t="s">
        <v>40</v>
      </c>
      <c r="D700" s="12" t="s">
        <v>2395</v>
      </c>
      <c r="E700" s="13">
        <v>1</v>
      </c>
      <c r="F700" s="111">
        <v>3111</v>
      </c>
      <c r="G700" s="13" t="s">
        <v>2400</v>
      </c>
      <c r="H700" s="14" t="s">
        <v>274</v>
      </c>
      <c r="I700" s="14" t="s">
        <v>2401</v>
      </c>
      <c r="J700" s="12" t="s">
        <v>661</v>
      </c>
      <c r="K700" s="15" t="s">
        <v>2402</v>
      </c>
      <c r="O700" s="11" t="s">
        <v>2399</v>
      </c>
    </row>
    <row r="701" spans="1:15" hidden="1" x14ac:dyDescent="0.25">
      <c r="A701" s="11" t="s">
        <v>21</v>
      </c>
      <c r="B701" s="11" t="s">
        <v>2360</v>
      </c>
      <c r="C701" s="12" t="s">
        <v>40</v>
      </c>
      <c r="D701" s="12" t="s">
        <v>2403</v>
      </c>
      <c r="E701" s="13">
        <v>1</v>
      </c>
      <c r="F701" s="111">
        <v>3111</v>
      </c>
      <c r="G701" s="13" t="s">
        <v>2404</v>
      </c>
      <c r="H701" s="14" t="s">
        <v>274</v>
      </c>
      <c r="I701" s="14" t="s">
        <v>2405</v>
      </c>
      <c r="J701" s="12" t="s">
        <v>661</v>
      </c>
      <c r="K701" s="15" t="s">
        <v>2406</v>
      </c>
      <c r="O701" s="11" t="s">
        <v>2407</v>
      </c>
    </row>
    <row r="702" spans="1:15" hidden="1" x14ac:dyDescent="0.25">
      <c r="A702" s="11" t="s">
        <v>134</v>
      </c>
      <c r="B702" s="11" t="s">
        <v>134</v>
      </c>
      <c r="C702" s="12" t="s">
        <v>2</v>
      </c>
      <c r="D702" s="12" t="s">
        <v>2</v>
      </c>
      <c r="E702" s="13" t="s">
        <v>2</v>
      </c>
      <c r="F702" s="111" t="s">
        <v>2</v>
      </c>
      <c r="G702" s="13" t="s">
        <v>2</v>
      </c>
      <c r="H702" s="14" t="s">
        <v>2</v>
      </c>
      <c r="I702" s="14" t="s">
        <v>21</v>
      </c>
      <c r="J702" s="12" t="s">
        <v>21</v>
      </c>
      <c r="K702" s="15" t="s">
        <v>21</v>
      </c>
      <c r="L702" s="16" t="s">
        <v>23</v>
      </c>
      <c r="M702" s="16" t="s">
        <v>23</v>
      </c>
      <c r="N702" s="58" t="s">
        <v>21</v>
      </c>
      <c r="O702" s="11" t="s">
        <v>21</v>
      </c>
    </row>
    <row r="703" spans="1:15" hidden="1" x14ac:dyDescent="0.25">
      <c r="A703" s="11" t="s">
        <v>21</v>
      </c>
      <c r="B703" s="11" t="s">
        <v>2360</v>
      </c>
      <c r="C703" s="12" t="s">
        <v>40</v>
      </c>
      <c r="D703" s="12" t="s">
        <v>2408</v>
      </c>
      <c r="E703" s="13">
        <v>1</v>
      </c>
      <c r="F703" s="111">
        <v>3111</v>
      </c>
      <c r="G703" s="13" t="s">
        <v>2409</v>
      </c>
      <c r="H703" s="14" t="s">
        <v>274</v>
      </c>
      <c r="I703" s="14" t="s">
        <v>2410</v>
      </c>
      <c r="J703" s="12" t="s">
        <v>661</v>
      </c>
      <c r="K703" s="15" t="s">
        <v>2411</v>
      </c>
      <c r="O703" s="11" t="s">
        <v>2412</v>
      </c>
    </row>
    <row r="704" spans="1:15" hidden="1" x14ac:dyDescent="0.25">
      <c r="A704" s="11" t="s">
        <v>21</v>
      </c>
      <c r="B704" s="11" t="s">
        <v>2360</v>
      </c>
      <c r="C704" s="12" t="s">
        <v>40</v>
      </c>
      <c r="D704" s="12" t="s">
        <v>2413</v>
      </c>
      <c r="E704" s="13">
        <v>1</v>
      </c>
      <c r="F704" s="111">
        <v>3111</v>
      </c>
      <c r="G704" s="13" t="s">
        <v>2414</v>
      </c>
      <c r="H704" s="14" t="s">
        <v>274</v>
      </c>
      <c r="I704" s="14" t="s">
        <v>2415</v>
      </c>
      <c r="J704" s="12" t="s">
        <v>661</v>
      </c>
      <c r="K704" s="15" t="s">
        <v>2416</v>
      </c>
      <c r="O704" s="11" t="s">
        <v>2417</v>
      </c>
    </row>
    <row r="705" spans="1:15" hidden="1" x14ac:dyDescent="0.25">
      <c r="A705" s="11" t="s">
        <v>21</v>
      </c>
      <c r="B705" s="11" t="s">
        <v>2360</v>
      </c>
      <c r="C705" s="12" t="s">
        <v>40</v>
      </c>
      <c r="D705" s="12" t="s">
        <v>2421</v>
      </c>
      <c r="E705" s="13">
        <v>1</v>
      </c>
      <c r="F705" s="111">
        <v>3111</v>
      </c>
      <c r="G705" s="13" t="s">
        <v>2426</v>
      </c>
      <c r="H705" s="14" t="s">
        <v>274</v>
      </c>
      <c r="I705" s="14" t="s">
        <v>2427</v>
      </c>
      <c r="J705" s="12" t="s">
        <v>661</v>
      </c>
      <c r="K705" s="15" t="s">
        <v>2428</v>
      </c>
      <c r="O705" s="11" t="s">
        <v>2425</v>
      </c>
    </row>
    <row r="706" spans="1:15" hidden="1" x14ac:dyDescent="0.25">
      <c r="A706" s="11" t="s">
        <v>21</v>
      </c>
      <c r="B706" s="11" t="s">
        <v>2360</v>
      </c>
      <c r="C706" s="12" t="s">
        <v>40</v>
      </c>
      <c r="D706" s="12" t="s">
        <v>2395</v>
      </c>
      <c r="E706" s="13">
        <v>2</v>
      </c>
      <c r="F706" s="111">
        <v>3111</v>
      </c>
      <c r="G706" s="13" t="s">
        <v>2396</v>
      </c>
      <c r="H706" s="14" t="s">
        <v>274</v>
      </c>
      <c r="I706" s="14" t="s">
        <v>2397</v>
      </c>
      <c r="J706" s="12" t="s">
        <v>661</v>
      </c>
      <c r="K706" s="15" t="s">
        <v>2398</v>
      </c>
      <c r="O706" s="11" t="s">
        <v>2399</v>
      </c>
    </row>
    <row r="707" spans="1:15" hidden="1" x14ac:dyDescent="0.25">
      <c r="A707" s="11" t="s">
        <v>21</v>
      </c>
      <c r="B707" s="11" t="s">
        <v>2360</v>
      </c>
      <c r="C707" s="12" t="s">
        <v>40</v>
      </c>
      <c r="D707" s="12" t="s">
        <v>2413</v>
      </c>
      <c r="E707" s="13">
        <v>2</v>
      </c>
      <c r="F707" s="111">
        <v>3111</v>
      </c>
      <c r="G707" s="13" t="s">
        <v>2418</v>
      </c>
      <c r="H707" s="14" t="s">
        <v>274</v>
      </c>
      <c r="I707" s="14" t="s">
        <v>2419</v>
      </c>
      <c r="J707" s="12" t="s">
        <v>661</v>
      </c>
      <c r="K707" s="15" t="s">
        <v>2420</v>
      </c>
      <c r="O707" s="11" t="s">
        <v>2417</v>
      </c>
    </row>
    <row r="708" spans="1:15" hidden="1" x14ac:dyDescent="0.25">
      <c r="A708" s="11" t="s">
        <v>21</v>
      </c>
      <c r="B708" s="11" t="s">
        <v>2360</v>
      </c>
      <c r="C708" s="12" t="s">
        <v>40</v>
      </c>
      <c r="D708" s="12" t="s">
        <v>2421</v>
      </c>
      <c r="E708" s="13">
        <v>2</v>
      </c>
      <c r="F708" s="111">
        <v>3111</v>
      </c>
      <c r="G708" s="13" t="s">
        <v>2422</v>
      </c>
      <c r="H708" s="14" t="s">
        <v>274</v>
      </c>
      <c r="I708" s="14" t="s">
        <v>2423</v>
      </c>
      <c r="J708" s="12" t="s">
        <v>661</v>
      </c>
      <c r="K708" s="15" t="s">
        <v>2424</v>
      </c>
      <c r="O708" s="11" t="s">
        <v>2425</v>
      </c>
    </row>
    <row r="709" spans="1:15" hidden="1" x14ac:dyDescent="0.25">
      <c r="A709" s="11" t="s">
        <v>21</v>
      </c>
      <c r="B709" s="11" t="s">
        <v>2360</v>
      </c>
      <c r="C709" s="12" t="s">
        <v>40</v>
      </c>
      <c r="D709" s="12" t="s">
        <v>2672</v>
      </c>
      <c r="E709" s="13">
        <v>1</v>
      </c>
      <c r="F709" s="111">
        <v>3112</v>
      </c>
      <c r="G709" s="13" t="s">
        <v>2673</v>
      </c>
      <c r="H709" s="14" t="s">
        <v>274</v>
      </c>
      <c r="I709" s="14" t="s">
        <v>2674</v>
      </c>
      <c r="J709" s="12" t="s">
        <v>661</v>
      </c>
      <c r="K709" s="15" t="s">
        <v>2675</v>
      </c>
      <c r="O709" s="11" t="s">
        <v>2676</v>
      </c>
    </row>
    <row r="710" spans="1:15" hidden="1" x14ac:dyDescent="0.25">
      <c r="A710" s="11" t="s">
        <v>21</v>
      </c>
      <c r="B710" s="11" t="s">
        <v>2360</v>
      </c>
      <c r="C710" s="12" t="s">
        <v>40</v>
      </c>
      <c r="D710" s="12" t="s">
        <v>2683</v>
      </c>
      <c r="E710" s="13">
        <v>1</v>
      </c>
      <c r="F710" s="111">
        <v>3112</v>
      </c>
      <c r="G710" s="13" t="s">
        <v>2684</v>
      </c>
      <c r="H710" s="14" t="s">
        <v>274</v>
      </c>
      <c r="I710" s="14" t="s">
        <v>2685</v>
      </c>
      <c r="J710" s="12" t="s">
        <v>661</v>
      </c>
      <c r="K710" s="15" t="s">
        <v>2686</v>
      </c>
      <c r="O710" s="11" t="s">
        <v>2687</v>
      </c>
    </row>
    <row r="711" spans="1:15" hidden="1" x14ac:dyDescent="0.25">
      <c r="A711" s="11" t="s">
        <v>21</v>
      </c>
      <c r="B711" s="11" t="s">
        <v>2360</v>
      </c>
      <c r="C711" s="12" t="s">
        <v>40</v>
      </c>
      <c r="D711" s="12" t="s">
        <v>2691</v>
      </c>
      <c r="E711" s="13">
        <v>1</v>
      </c>
      <c r="F711" s="111">
        <v>3112</v>
      </c>
      <c r="G711" s="13" t="s">
        <v>2702</v>
      </c>
      <c r="H711" s="14" t="s">
        <v>274</v>
      </c>
      <c r="I711" s="14" t="s">
        <v>2703</v>
      </c>
      <c r="J711" s="12" t="s">
        <v>661</v>
      </c>
      <c r="K711" s="15" t="s">
        <v>2704</v>
      </c>
      <c r="O711" s="11" t="s">
        <v>2695</v>
      </c>
    </row>
    <row r="712" spans="1:15" hidden="1" x14ac:dyDescent="0.25">
      <c r="A712" s="11" t="s">
        <v>21</v>
      </c>
      <c r="B712" s="11" t="s">
        <v>2360</v>
      </c>
      <c r="C712" s="12" t="s">
        <v>40</v>
      </c>
      <c r="D712" s="12" t="s">
        <v>2672</v>
      </c>
      <c r="E712" s="13">
        <v>2</v>
      </c>
      <c r="F712" s="111">
        <v>3112</v>
      </c>
      <c r="G712" s="13" t="s">
        <v>2677</v>
      </c>
      <c r="H712" s="14" t="s">
        <v>274</v>
      </c>
      <c r="I712" s="14" t="s">
        <v>2678</v>
      </c>
      <c r="J712" s="12" t="s">
        <v>661</v>
      </c>
      <c r="K712" s="15" t="s">
        <v>2679</v>
      </c>
      <c r="O712" s="11" t="s">
        <v>2676</v>
      </c>
    </row>
    <row r="713" spans="1:15" hidden="1" x14ac:dyDescent="0.25">
      <c r="A713" s="11" t="s">
        <v>21</v>
      </c>
      <c r="B713" s="11" t="s">
        <v>2360</v>
      </c>
      <c r="C713" s="12" t="s">
        <v>40</v>
      </c>
      <c r="D713" s="12" t="s">
        <v>2691</v>
      </c>
      <c r="E713" s="13">
        <v>2</v>
      </c>
      <c r="F713" s="111">
        <v>3112</v>
      </c>
      <c r="G713" s="13" t="s">
        <v>2696</v>
      </c>
      <c r="H713" s="14" t="s">
        <v>274</v>
      </c>
      <c r="I713" s="14" t="s">
        <v>2697</v>
      </c>
      <c r="J713" s="12" t="s">
        <v>661</v>
      </c>
      <c r="K713" s="15" t="s">
        <v>2698</v>
      </c>
      <c r="O713" s="11" t="s">
        <v>2695</v>
      </c>
    </row>
    <row r="714" spans="1:15" hidden="1" x14ac:dyDescent="0.25">
      <c r="A714" s="11" t="s">
        <v>21</v>
      </c>
      <c r="B714" s="11" t="s">
        <v>2360</v>
      </c>
      <c r="C714" s="12" t="s">
        <v>40</v>
      </c>
      <c r="D714" s="12" t="s">
        <v>2672</v>
      </c>
      <c r="E714" s="13">
        <v>3</v>
      </c>
      <c r="F714" s="111">
        <v>3112</v>
      </c>
      <c r="G714" s="13" t="s">
        <v>2688</v>
      </c>
      <c r="H714" s="14" t="s">
        <v>274</v>
      </c>
      <c r="I714" s="14" t="s">
        <v>2689</v>
      </c>
      <c r="J714" s="12" t="s">
        <v>661</v>
      </c>
      <c r="K714" s="15" t="s">
        <v>2690</v>
      </c>
      <c r="O714" s="11" t="s">
        <v>2676</v>
      </c>
    </row>
    <row r="715" spans="1:15" hidden="1" x14ac:dyDescent="0.25">
      <c r="A715" s="11" t="s">
        <v>21</v>
      </c>
      <c r="B715" s="11" t="s">
        <v>2360</v>
      </c>
      <c r="C715" s="12" t="s">
        <v>40</v>
      </c>
      <c r="D715" s="12" t="s">
        <v>2691</v>
      </c>
      <c r="E715" s="13">
        <v>3</v>
      </c>
      <c r="F715" s="111">
        <v>3112</v>
      </c>
      <c r="G715" s="13" t="s">
        <v>2692</v>
      </c>
      <c r="H715" s="14" t="s">
        <v>274</v>
      </c>
      <c r="I715" s="14" t="s">
        <v>2693</v>
      </c>
      <c r="J715" s="12" t="s">
        <v>661</v>
      </c>
      <c r="K715" s="15" t="s">
        <v>2694</v>
      </c>
      <c r="O715" s="11" t="s">
        <v>2695</v>
      </c>
    </row>
    <row r="716" spans="1:15" hidden="1" x14ac:dyDescent="0.25">
      <c r="A716" s="11" t="s">
        <v>21</v>
      </c>
      <c r="B716" s="11" t="s">
        <v>2360</v>
      </c>
      <c r="C716" s="12" t="s">
        <v>40</v>
      </c>
      <c r="D716" s="12" t="s">
        <v>2672</v>
      </c>
      <c r="E716" s="13">
        <v>4</v>
      </c>
      <c r="F716" s="111">
        <v>3112</v>
      </c>
      <c r="G716" s="13" t="s">
        <v>2680</v>
      </c>
      <c r="H716" s="14" t="s">
        <v>274</v>
      </c>
      <c r="I716" s="14" t="s">
        <v>2681</v>
      </c>
      <c r="J716" s="12" t="s">
        <v>661</v>
      </c>
      <c r="K716" s="15" t="s">
        <v>2682</v>
      </c>
      <c r="O716" s="11" t="s">
        <v>2676</v>
      </c>
    </row>
    <row r="717" spans="1:15" hidden="1" x14ac:dyDescent="0.25">
      <c r="A717" s="11" t="s">
        <v>21</v>
      </c>
      <c r="B717" s="11" t="s">
        <v>2360</v>
      </c>
      <c r="C717" s="12" t="s">
        <v>40</v>
      </c>
      <c r="D717" s="12" t="s">
        <v>2691</v>
      </c>
      <c r="E717" s="13">
        <v>4</v>
      </c>
      <c r="F717" s="111">
        <v>3112</v>
      </c>
      <c r="G717" s="13" t="s">
        <v>2699</v>
      </c>
      <c r="H717" s="14" t="s">
        <v>274</v>
      </c>
      <c r="I717" s="14" t="s">
        <v>2700</v>
      </c>
      <c r="J717" s="12" t="s">
        <v>661</v>
      </c>
      <c r="K717" s="15" t="s">
        <v>2701</v>
      </c>
      <c r="O717" s="11" t="s">
        <v>2695</v>
      </c>
    </row>
    <row r="718" spans="1:15" hidden="1" x14ac:dyDescent="0.25">
      <c r="A718" s="11" t="s">
        <v>21</v>
      </c>
      <c r="B718" s="11" t="s">
        <v>2360</v>
      </c>
      <c r="C718" s="12" t="s">
        <v>40</v>
      </c>
      <c r="D718" s="12" t="s">
        <v>2691</v>
      </c>
      <c r="E718" s="13">
        <v>5</v>
      </c>
      <c r="F718" s="111">
        <v>3112</v>
      </c>
      <c r="G718" s="13" t="s">
        <v>2729</v>
      </c>
      <c r="H718" s="14" t="s">
        <v>274</v>
      </c>
      <c r="I718" s="14" t="s">
        <v>2730</v>
      </c>
      <c r="J718" s="12" t="s">
        <v>661</v>
      </c>
      <c r="K718" s="15" t="s">
        <v>2731</v>
      </c>
      <c r="O718" s="11" t="s">
        <v>2695</v>
      </c>
    </row>
    <row r="719" spans="1:15" hidden="1" x14ac:dyDescent="0.25">
      <c r="A719" s="11" t="s">
        <v>134</v>
      </c>
      <c r="B719" s="11" t="s">
        <v>134</v>
      </c>
      <c r="C719" s="12" t="s">
        <v>134</v>
      </c>
      <c r="D719" s="12" t="s">
        <v>2</v>
      </c>
      <c r="E719" s="13" t="s">
        <v>2</v>
      </c>
      <c r="F719" s="111" t="s">
        <v>2</v>
      </c>
      <c r="G719" s="13" t="s">
        <v>2</v>
      </c>
      <c r="H719" s="14" t="s">
        <v>2</v>
      </c>
      <c r="I719" s="14" t="s">
        <v>21</v>
      </c>
      <c r="J719" s="12" t="s">
        <v>21</v>
      </c>
      <c r="K719" s="15" t="s">
        <v>21</v>
      </c>
      <c r="L719" s="16" t="s">
        <v>21</v>
      </c>
      <c r="M719" s="16" t="s">
        <v>23</v>
      </c>
      <c r="N719" s="58" t="s">
        <v>21</v>
      </c>
      <c r="O719" s="11" t="s">
        <v>23</v>
      </c>
    </row>
    <row r="720" spans="1:15" hidden="1" x14ac:dyDescent="0.25">
      <c r="A720" s="11" t="s">
        <v>21</v>
      </c>
      <c r="B720" s="11" t="s">
        <v>2360</v>
      </c>
      <c r="C720" s="12" t="s">
        <v>40</v>
      </c>
      <c r="D720" s="12" t="s">
        <v>2372</v>
      </c>
      <c r="E720" s="13">
        <v>1</v>
      </c>
      <c r="F720" s="111">
        <v>3113</v>
      </c>
      <c r="G720" s="13" t="s">
        <v>2377</v>
      </c>
      <c r="H720" s="14" t="s">
        <v>274</v>
      </c>
      <c r="I720" s="14" t="s">
        <v>2378</v>
      </c>
      <c r="J720" s="12" t="s">
        <v>661</v>
      </c>
      <c r="K720" s="15" t="s">
        <v>2379</v>
      </c>
      <c r="O720" s="11" t="s">
        <v>2376</v>
      </c>
    </row>
    <row r="721" spans="1:15" hidden="1" x14ac:dyDescent="0.25">
      <c r="A721" s="11" t="s">
        <v>21</v>
      </c>
      <c r="B721" s="11" t="s">
        <v>2360</v>
      </c>
      <c r="C721" s="12" t="s">
        <v>40</v>
      </c>
      <c r="D721" s="12" t="s">
        <v>2380</v>
      </c>
      <c r="E721" s="13">
        <v>1</v>
      </c>
      <c r="F721" s="111">
        <v>3113</v>
      </c>
      <c r="G721" s="13" t="s">
        <v>2381</v>
      </c>
      <c r="H721" s="14" t="s">
        <v>274</v>
      </c>
      <c r="I721" s="14" t="s">
        <v>2382</v>
      </c>
      <c r="J721" s="12" t="s">
        <v>661</v>
      </c>
      <c r="K721" s="15" t="s">
        <v>2383</v>
      </c>
      <c r="O721" s="11" t="s">
        <v>2384</v>
      </c>
    </row>
    <row r="722" spans="1:15" hidden="1" x14ac:dyDescent="0.25">
      <c r="A722" s="11" t="s">
        <v>21</v>
      </c>
      <c r="B722" s="11" t="s">
        <v>2360</v>
      </c>
      <c r="C722" s="12" t="s">
        <v>40</v>
      </c>
      <c r="D722" s="12" t="s">
        <v>2385</v>
      </c>
      <c r="E722" s="13">
        <v>1</v>
      </c>
      <c r="F722" s="111">
        <v>3113</v>
      </c>
      <c r="G722" s="13" t="s">
        <v>2386</v>
      </c>
      <c r="H722" s="14" t="s">
        <v>274</v>
      </c>
      <c r="I722" s="14" t="s">
        <v>2387</v>
      </c>
      <c r="J722" s="12" t="s">
        <v>661</v>
      </c>
      <c r="K722" s="15" t="s">
        <v>2388</v>
      </c>
      <c r="O722" s="11" t="s">
        <v>2389</v>
      </c>
    </row>
    <row r="723" spans="1:15" hidden="1" x14ac:dyDescent="0.25">
      <c r="A723" s="11" t="s">
        <v>21</v>
      </c>
      <c r="B723" s="11" t="s">
        <v>2360</v>
      </c>
      <c r="C723" s="12" t="s">
        <v>40</v>
      </c>
      <c r="D723" s="12" t="s">
        <v>2390</v>
      </c>
      <c r="E723" s="13">
        <v>1</v>
      </c>
      <c r="F723" s="111">
        <v>3113</v>
      </c>
      <c r="G723" s="13" t="s">
        <v>2391</v>
      </c>
      <c r="H723" s="14" t="s">
        <v>274</v>
      </c>
      <c r="I723" s="14" t="s">
        <v>2392</v>
      </c>
      <c r="J723" s="12" t="s">
        <v>661</v>
      </c>
      <c r="K723" s="15" t="s">
        <v>2393</v>
      </c>
      <c r="O723" s="11" t="s">
        <v>2394</v>
      </c>
    </row>
    <row r="724" spans="1:15" hidden="1" x14ac:dyDescent="0.25">
      <c r="A724" s="11" t="s">
        <v>21</v>
      </c>
      <c r="B724" s="11" t="s">
        <v>2360</v>
      </c>
      <c r="C724" s="12" t="s">
        <v>40</v>
      </c>
      <c r="D724" s="12" t="s">
        <v>2372</v>
      </c>
      <c r="E724" s="13">
        <v>2</v>
      </c>
      <c r="F724" s="111">
        <v>3113</v>
      </c>
      <c r="G724" s="13" t="s">
        <v>2373</v>
      </c>
      <c r="H724" s="14" t="s">
        <v>274</v>
      </c>
      <c r="I724" s="14" t="s">
        <v>2374</v>
      </c>
      <c r="J724" s="12" t="s">
        <v>661</v>
      </c>
      <c r="K724" s="15" t="s">
        <v>2375</v>
      </c>
      <c r="O724" s="11" t="s">
        <v>2376</v>
      </c>
    </row>
    <row r="725" spans="1:15" hidden="1" x14ac:dyDescent="0.25">
      <c r="A725" s="11" t="s">
        <v>134</v>
      </c>
      <c r="B725" s="11" t="s">
        <v>134</v>
      </c>
      <c r="C725" s="12" t="s">
        <v>134</v>
      </c>
      <c r="D725" s="12" t="s">
        <v>2</v>
      </c>
      <c r="E725" s="13" t="s">
        <v>2</v>
      </c>
      <c r="F725" s="111" t="s">
        <v>2</v>
      </c>
      <c r="G725" s="13" t="s">
        <v>2</v>
      </c>
      <c r="H725" s="14" t="s">
        <v>2</v>
      </c>
      <c r="I725" s="14" t="s">
        <v>21</v>
      </c>
      <c r="J725" s="12" t="s">
        <v>21</v>
      </c>
      <c r="K725" s="15" t="s">
        <v>21</v>
      </c>
      <c r="L725" s="16" t="s">
        <v>21</v>
      </c>
      <c r="M725" s="16" t="s">
        <v>21</v>
      </c>
      <c r="N725" s="58" t="s">
        <v>21</v>
      </c>
      <c r="O725" s="11" t="s">
        <v>21</v>
      </c>
    </row>
    <row r="726" spans="1:15" hidden="1" x14ac:dyDescent="0.25">
      <c r="A726" s="11" t="s">
        <v>21</v>
      </c>
      <c r="B726" s="11" t="s">
        <v>2360</v>
      </c>
      <c r="C726" s="12" t="s">
        <v>40</v>
      </c>
      <c r="D726" s="12" t="s">
        <v>2894</v>
      </c>
      <c r="E726" s="13">
        <v>1</v>
      </c>
      <c r="F726" s="111">
        <v>3114</v>
      </c>
      <c r="G726" s="13" t="s">
        <v>2895</v>
      </c>
      <c r="H726" s="14" t="s">
        <v>274</v>
      </c>
      <c r="I726" s="14" t="s">
        <v>2896</v>
      </c>
      <c r="J726" s="12" t="s">
        <v>661</v>
      </c>
      <c r="K726" s="15" t="s">
        <v>2897</v>
      </c>
      <c r="O726" s="11" t="s">
        <v>2898</v>
      </c>
    </row>
    <row r="727" spans="1:15" hidden="1" x14ac:dyDescent="0.25">
      <c r="A727" s="11" t="s">
        <v>21</v>
      </c>
      <c r="B727" s="11" t="s">
        <v>2360</v>
      </c>
      <c r="C727" s="12" t="s">
        <v>40</v>
      </c>
      <c r="D727" s="12" t="s">
        <v>2899</v>
      </c>
      <c r="E727" s="13">
        <v>1</v>
      </c>
      <c r="F727" s="111">
        <v>3114</v>
      </c>
      <c r="G727" s="13" t="s">
        <v>2900</v>
      </c>
      <c r="H727" s="14" t="s">
        <v>274</v>
      </c>
      <c r="I727" s="14" t="s">
        <v>2901</v>
      </c>
      <c r="J727" s="12" t="s">
        <v>661</v>
      </c>
      <c r="K727" s="15" t="s">
        <v>2902</v>
      </c>
      <c r="O727" s="11" t="s">
        <v>2903</v>
      </c>
    </row>
    <row r="728" spans="1:15" hidden="1" x14ac:dyDescent="0.25">
      <c r="A728" s="11" t="s">
        <v>21</v>
      </c>
      <c r="B728" s="11" t="s">
        <v>2360</v>
      </c>
      <c r="C728" s="12" t="s">
        <v>40</v>
      </c>
      <c r="D728" s="12" t="s">
        <v>2904</v>
      </c>
      <c r="E728" s="13">
        <v>1</v>
      </c>
      <c r="F728" s="111">
        <v>3114</v>
      </c>
      <c r="G728" s="13" t="s">
        <v>2905</v>
      </c>
      <c r="H728" s="14" t="s">
        <v>274</v>
      </c>
      <c r="I728" s="14" t="s">
        <v>2906</v>
      </c>
      <c r="J728" s="12" t="s">
        <v>661</v>
      </c>
      <c r="K728" s="15" t="s">
        <v>2907</v>
      </c>
      <c r="O728" s="11" t="s">
        <v>2908</v>
      </c>
    </row>
    <row r="729" spans="1:15" hidden="1" x14ac:dyDescent="0.25">
      <c r="A729" s="11" t="s">
        <v>21</v>
      </c>
      <c r="B729" s="11" t="s">
        <v>2360</v>
      </c>
      <c r="C729" s="12" t="s">
        <v>40</v>
      </c>
      <c r="D729" s="12" t="s">
        <v>2909</v>
      </c>
      <c r="E729" s="13">
        <v>1</v>
      </c>
      <c r="F729" s="111">
        <v>3114</v>
      </c>
      <c r="G729" s="13" t="s">
        <v>2910</v>
      </c>
      <c r="H729" s="14" t="s">
        <v>274</v>
      </c>
      <c r="I729" s="14" t="s">
        <v>2911</v>
      </c>
      <c r="J729" s="12" t="s">
        <v>661</v>
      </c>
      <c r="K729" s="15" t="s">
        <v>2912</v>
      </c>
      <c r="O729" s="11" t="s">
        <v>2913</v>
      </c>
    </row>
    <row r="730" spans="1:15" hidden="1" x14ac:dyDescent="0.25">
      <c r="A730" s="11" t="s">
        <v>21</v>
      </c>
      <c r="B730" s="11" t="s">
        <v>2360</v>
      </c>
      <c r="C730" s="12" t="s">
        <v>40</v>
      </c>
      <c r="D730" s="12" t="s">
        <v>2909</v>
      </c>
      <c r="E730" s="13">
        <v>2</v>
      </c>
      <c r="F730" s="111">
        <v>3114</v>
      </c>
      <c r="G730" s="13" t="s">
        <v>2914</v>
      </c>
      <c r="H730" s="14" t="s">
        <v>274</v>
      </c>
      <c r="I730" s="14" t="s">
        <v>2915</v>
      </c>
      <c r="J730" s="12" t="s">
        <v>661</v>
      </c>
      <c r="K730" s="15" t="s">
        <v>2916</v>
      </c>
      <c r="O730" s="11" t="s">
        <v>2913</v>
      </c>
    </row>
    <row r="731" spans="1:15" hidden="1" x14ac:dyDescent="0.25">
      <c r="A731" s="11" t="s">
        <v>21</v>
      </c>
      <c r="B731" s="11" t="s">
        <v>2360</v>
      </c>
      <c r="C731" s="12" t="s">
        <v>40</v>
      </c>
      <c r="D731" s="12" t="s">
        <v>2909</v>
      </c>
      <c r="E731" s="13">
        <v>3</v>
      </c>
      <c r="F731" s="111">
        <v>3114</v>
      </c>
      <c r="G731" s="13" t="s">
        <v>2917</v>
      </c>
      <c r="H731" s="14" t="s">
        <v>274</v>
      </c>
      <c r="I731" s="14" t="s">
        <v>2918</v>
      </c>
      <c r="J731" s="12" t="s">
        <v>661</v>
      </c>
      <c r="K731" s="15" t="s">
        <v>2919</v>
      </c>
      <c r="O731" s="11" t="s">
        <v>2913</v>
      </c>
    </row>
    <row r="732" spans="1:15" hidden="1" x14ac:dyDescent="0.25">
      <c r="A732" s="11" t="s">
        <v>21</v>
      </c>
      <c r="B732" s="11" t="s">
        <v>2360</v>
      </c>
      <c r="C732" s="12" t="s">
        <v>40</v>
      </c>
      <c r="D732" s="12" t="s">
        <v>2909</v>
      </c>
      <c r="E732" s="13">
        <v>4</v>
      </c>
      <c r="F732" s="111">
        <v>3114</v>
      </c>
      <c r="G732" s="13" t="s">
        <v>2920</v>
      </c>
      <c r="H732" s="14" t="s">
        <v>274</v>
      </c>
      <c r="I732" s="14" t="s">
        <v>2921</v>
      </c>
      <c r="J732" s="12" t="s">
        <v>661</v>
      </c>
      <c r="K732" s="15" t="s">
        <v>2922</v>
      </c>
      <c r="O732" s="11" t="s">
        <v>2913</v>
      </c>
    </row>
    <row r="733" spans="1:15" hidden="1" x14ac:dyDescent="0.25">
      <c r="A733" s="11" t="s">
        <v>21</v>
      </c>
      <c r="B733" s="11" t="s">
        <v>2360</v>
      </c>
      <c r="C733" s="12" t="s">
        <v>40</v>
      </c>
      <c r="D733" s="12" t="s">
        <v>2361</v>
      </c>
      <c r="E733" s="13">
        <v>1</v>
      </c>
      <c r="F733" s="111">
        <v>3115</v>
      </c>
      <c r="G733" s="13" t="s">
        <v>2369</v>
      </c>
      <c r="H733" s="14" t="s">
        <v>274</v>
      </c>
      <c r="I733" s="14" t="s">
        <v>2370</v>
      </c>
      <c r="J733" s="12" t="s">
        <v>661</v>
      </c>
      <c r="K733" s="15" t="s">
        <v>2371</v>
      </c>
      <c r="O733" s="11" t="s">
        <v>2365</v>
      </c>
    </row>
    <row r="734" spans="1:15" hidden="1" x14ac:dyDescent="0.25">
      <c r="A734" s="11" t="s">
        <v>21</v>
      </c>
      <c r="B734" s="11" t="s">
        <v>2360</v>
      </c>
      <c r="C734" s="12" t="s">
        <v>40</v>
      </c>
      <c r="D734" s="12" t="s">
        <v>2732</v>
      </c>
      <c r="E734" s="13">
        <v>1</v>
      </c>
      <c r="F734" s="111">
        <v>3115</v>
      </c>
      <c r="G734" s="13" t="s">
        <v>2733</v>
      </c>
      <c r="H734" s="14" t="s">
        <v>274</v>
      </c>
      <c r="I734" s="14" t="s">
        <v>2734</v>
      </c>
      <c r="J734" s="12" t="s">
        <v>661</v>
      </c>
      <c r="K734" s="15" t="s">
        <v>2735</v>
      </c>
      <c r="O734" s="11" t="s">
        <v>2736</v>
      </c>
    </row>
    <row r="735" spans="1:15" hidden="1" x14ac:dyDescent="0.25">
      <c r="A735" s="11" t="s">
        <v>21</v>
      </c>
      <c r="B735" s="11" t="s">
        <v>2360</v>
      </c>
      <c r="C735" s="12" t="s">
        <v>40</v>
      </c>
      <c r="D735" s="12" t="s">
        <v>2737</v>
      </c>
      <c r="E735" s="13">
        <v>1</v>
      </c>
      <c r="F735" s="111">
        <v>3115</v>
      </c>
      <c r="G735" s="13" t="s">
        <v>2738</v>
      </c>
      <c r="H735" s="14" t="s">
        <v>274</v>
      </c>
      <c r="I735" s="14" t="s">
        <v>2739</v>
      </c>
      <c r="J735" s="12" t="s">
        <v>661</v>
      </c>
      <c r="K735" s="15" t="s">
        <v>2740</v>
      </c>
      <c r="O735" s="11" t="s">
        <v>2741</v>
      </c>
    </row>
    <row r="736" spans="1:15" hidden="1" x14ac:dyDescent="0.25">
      <c r="A736" s="11" t="s">
        <v>21</v>
      </c>
      <c r="B736" s="11" t="s">
        <v>2360</v>
      </c>
      <c r="C736" s="12" t="s">
        <v>40</v>
      </c>
      <c r="D736" s="12" t="s">
        <v>2745</v>
      </c>
      <c r="E736" s="13">
        <v>1</v>
      </c>
      <c r="F736" s="111">
        <v>3115</v>
      </c>
      <c r="G736" s="13" t="s">
        <v>2746</v>
      </c>
      <c r="H736" s="14" t="s">
        <v>274</v>
      </c>
      <c r="I736" s="14" t="s">
        <v>2747</v>
      </c>
      <c r="J736" s="12" t="s">
        <v>661</v>
      </c>
      <c r="K736" s="15" t="s">
        <v>2748</v>
      </c>
      <c r="O736" s="11" t="s">
        <v>2749</v>
      </c>
    </row>
    <row r="737" spans="1:15" hidden="1" x14ac:dyDescent="0.25">
      <c r="A737" s="11" t="s">
        <v>21</v>
      </c>
      <c r="B737" s="11" t="s">
        <v>2360</v>
      </c>
      <c r="C737" s="12" t="s">
        <v>40</v>
      </c>
      <c r="D737" s="12" t="s">
        <v>2527</v>
      </c>
      <c r="E737" s="13">
        <v>1</v>
      </c>
      <c r="F737" s="111">
        <v>3115</v>
      </c>
      <c r="G737" s="13" t="s">
        <v>2750</v>
      </c>
      <c r="H737" s="14" t="s">
        <v>274</v>
      </c>
      <c r="I737" s="14" t="s">
        <v>2751</v>
      </c>
      <c r="J737" s="12" t="s">
        <v>661</v>
      </c>
      <c r="K737" s="15" t="s">
        <v>2752</v>
      </c>
      <c r="O737" s="11" t="s">
        <v>2753</v>
      </c>
    </row>
    <row r="738" spans="1:15" hidden="1" x14ac:dyDescent="0.25">
      <c r="A738" s="11" t="s">
        <v>21</v>
      </c>
      <c r="B738" s="11" t="s">
        <v>2360</v>
      </c>
      <c r="C738" s="12" t="s">
        <v>40</v>
      </c>
      <c r="D738" s="12" t="s">
        <v>2639</v>
      </c>
      <c r="E738" s="13">
        <v>1</v>
      </c>
      <c r="F738" s="111">
        <v>3115</v>
      </c>
      <c r="G738" s="13" t="s">
        <v>2754</v>
      </c>
      <c r="H738" s="14" t="s">
        <v>274</v>
      </c>
      <c r="I738" s="14" t="s">
        <v>2755</v>
      </c>
      <c r="J738" s="12" t="s">
        <v>661</v>
      </c>
      <c r="K738" s="15" t="s">
        <v>2756</v>
      </c>
      <c r="O738" s="11" t="s">
        <v>2757</v>
      </c>
    </row>
    <row r="739" spans="1:15" hidden="1" x14ac:dyDescent="0.25">
      <c r="A739" s="11" t="s">
        <v>21</v>
      </c>
      <c r="B739" s="11" t="s">
        <v>2360</v>
      </c>
      <c r="C739" s="12" t="s">
        <v>40</v>
      </c>
      <c r="D739" s="12" t="s">
        <v>2758</v>
      </c>
      <c r="E739" s="13">
        <v>1</v>
      </c>
      <c r="F739" s="111">
        <v>3115</v>
      </c>
      <c r="G739" s="13" t="s">
        <v>2778</v>
      </c>
      <c r="H739" s="14" t="s">
        <v>274</v>
      </c>
      <c r="I739" s="14" t="s">
        <v>2779</v>
      </c>
      <c r="J739" s="12" t="s">
        <v>661</v>
      </c>
      <c r="K739" s="15" t="s">
        <v>2780</v>
      </c>
      <c r="O739" s="11" t="s">
        <v>2762</v>
      </c>
    </row>
    <row r="740" spans="1:15" hidden="1" x14ac:dyDescent="0.25">
      <c r="A740" s="11" t="s">
        <v>21</v>
      </c>
      <c r="B740" s="11" t="s">
        <v>2360</v>
      </c>
      <c r="C740" s="12" t="s">
        <v>40</v>
      </c>
      <c r="D740" s="12" t="s">
        <v>2361</v>
      </c>
      <c r="E740" s="13">
        <v>2</v>
      </c>
      <c r="F740" s="111">
        <v>3115</v>
      </c>
      <c r="G740" s="13" t="s">
        <v>2366</v>
      </c>
      <c r="H740" s="14" t="s">
        <v>274</v>
      </c>
      <c r="I740" s="14" t="s">
        <v>2367</v>
      </c>
      <c r="J740" s="12" t="s">
        <v>661</v>
      </c>
      <c r="K740" s="15" t="s">
        <v>2368</v>
      </c>
      <c r="O740" s="11" t="s">
        <v>2365</v>
      </c>
    </row>
    <row r="741" spans="1:15" hidden="1" x14ac:dyDescent="0.25">
      <c r="A741" s="11" t="s">
        <v>21</v>
      </c>
      <c r="B741" s="11" t="s">
        <v>2360</v>
      </c>
      <c r="C741" s="12" t="s">
        <v>40</v>
      </c>
      <c r="D741" s="12" t="s">
        <v>2758</v>
      </c>
      <c r="E741" s="13">
        <v>2</v>
      </c>
      <c r="F741" s="111">
        <v>3115</v>
      </c>
      <c r="G741" s="13" t="s">
        <v>2775</v>
      </c>
      <c r="H741" s="14" t="s">
        <v>274</v>
      </c>
      <c r="I741" s="14" t="s">
        <v>2776</v>
      </c>
      <c r="J741" s="12" t="s">
        <v>661</v>
      </c>
      <c r="K741" s="15" t="s">
        <v>2777</v>
      </c>
      <c r="O741" s="11" t="s">
        <v>2762</v>
      </c>
    </row>
    <row r="742" spans="1:15" hidden="1" x14ac:dyDescent="0.25">
      <c r="A742" s="11" t="s">
        <v>21</v>
      </c>
      <c r="B742" s="11" t="s">
        <v>2360</v>
      </c>
      <c r="C742" s="12" t="s">
        <v>40</v>
      </c>
      <c r="D742" s="12" t="s">
        <v>2361</v>
      </c>
      <c r="E742" s="13">
        <v>3</v>
      </c>
      <c r="F742" s="111">
        <v>3115</v>
      </c>
      <c r="G742" s="13" t="s">
        <v>2362</v>
      </c>
      <c r="H742" s="14" t="s">
        <v>274</v>
      </c>
      <c r="I742" s="14" t="s">
        <v>2363</v>
      </c>
      <c r="J742" s="12" t="s">
        <v>661</v>
      </c>
      <c r="K742" s="15" t="s">
        <v>2364</v>
      </c>
      <c r="O742" s="11" t="s">
        <v>2365</v>
      </c>
    </row>
    <row r="743" spans="1:15" hidden="1" x14ac:dyDescent="0.25">
      <c r="A743" s="11" t="s">
        <v>21</v>
      </c>
      <c r="B743" s="11" t="s">
        <v>2360</v>
      </c>
      <c r="C743" s="12" t="s">
        <v>40</v>
      </c>
      <c r="D743" s="12" t="s">
        <v>2758</v>
      </c>
      <c r="E743" s="13">
        <v>3</v>
      </c>
      <c r="F743" s="111">
        <v>3115</v>
      </c>
      <c r="G743" s="13" t="s">
        <v>2772</v>
      </c>
      <c r="H743" s="14" t="s">
        <v>274</v>
      </c>
      <c r="I743" s="14" t="s">
        <v>2773</v>
      </c>
      <c r="J743" s="12" t="s">
        <v>661</v>
      </c>
      <c r="K743" s="15" t="s">
        <v>2774</v>
      </c>
      <c r="O743" s="11" t="s">
        <v>2762</v>
      </c>
    </row>
    <row r="744" spans="1:15" hidden="1" x14ac:dyDescent="0.25">
      <c r="A744" s="11" t="s">
        <v>21</v>
      </c>
      <c r="B744" s="11" t="s">
        <v>2360</v>
      </c>
      <c r="C744" s="12" t="s">
        <v>40</v>
      </c>
      <c r="D744" s="12" t="s">
        <v>2758</v>
      </c>
      <c r="E744" s="13">
        <v>4</v>
      </c>
      <c r="F744" s="111">
        <v>3115</v>
      </c>
      <c r="G744" s="13" t="s">
        <v>2769</v>
      </c>
      <c r="H744" s="14" t="s">
        <v>274</v>
      </c>
      <c r="I744" s="14" t="s">
        <v>2770</v>
      </c>
      <c r="J744" s="12" t="s">
        <v>661</v>
      </c>
      <c r="K744" s="15" t="s">
        <v>2771</v>
      </c>
      <c r="O744" s="11" t="s">
        <v>2762</v>
      </c>
    </row>
    <row r="745" spans="1:15" hidden="1" x14ac:dyDescent="0.25">
      <c r="A745" s="11" t="s">
        <v>21</v>
      </c>
      <c r="B745" s="11" t="s">
        <v>2360</v>
      </c>
      <c r="C745" s="12" t="s">
        <v>40</v>
      </c>
      <c r="D745" s="12" t="s">
        <v>2758</v>
      </c>
      <c r="E745" s="13">
        <v>5</v>
      </c>
      <c r="F745" s="111">
        <v>3115</v>
      </c>
      <c r="G745" s="13" t="s">
        <v>2763</v>
      </c>
      <c r="H745" s="14" t="s">
        <v>274</v>
      </c>
      <c r="I745" s="14" t="s">
        <v>2764</v>
      </c>
      <c r="J745" s="12" t="s">
        <v>661</v>
      </c>
      <c r="K745" s="15" t="s">
        <v>2765</v>
      </c>
      <c r="O745" s="11" t="s">
        <v>2762</v>
      </c>
    </row>
    <row r="746" spans="1:15" hidden="1" x14ac:dyDescent="0.25">
      <c r="A746" s="11" t="s">
        <v>21</v>
      </c>
      <c r="B746" s="11" t="s">
        <v>2360</v>
      </c>
      <c r="C746" s="12" t="s">
        <v>40</v>
      </c>
      <c r="D746" s="12" t="s">
        <v>2758</v>
      </c>
      <c r="E746" s="13">
        <v>6</v>
      </c>
      <c r="F746" s="111">
        <v>3115</v>
      </c>
      <c r="G746" s="13" t="s">
        <v>2766</v>
      </c>
      <c r="H746" s="14" t="s">
        <v>274</v>
      </c>
      <c r="I746" s="14" t="s">
        <v>2767</v>
      </c>
      <c r="J746" s="12" t="s">
        <v>661</v>
      </c>
      <c r="K746" s="15" t="s">
        <v>2768</v>
      </c>
      <c r="O746" s="11" t="s">
        <v>2762</v>
      </c>
    </row>
    <row r="747" spans="1:15" hidden="1" x14ac:dyDescent="0.25">
      <c r="A747" s="11" t="s">
        <v>21</v>
      </c>
      <c r="B747" s="11" t="s">
        <v>2360</v>
      </c>
      <c r="C747" s="12" t="s">
        <v>40</v>
      </c>
      <c r="D747" s="12" t="s">
        <v>2758</v>
      </c>
      <c r="E747" s="13">
        <v>7</v>
      </c>
      <c r="F747" s="111">
        <v>3115</v>
      </c>
      <c r="G747" s="13" t="s">
        <v>2759</v>
      </c>
      <c r="H747" s="14" t="s">
        <v>274</v>
      </c>
      <c r="I747" s="14" t="s">
        <v>2760</v>
      </c>
      <c r="J747" s="12" t="s">
        <v>661</v>
      </c>
      <c r="K747" s="15" t="s">
        <v>2761</v>
      </c>
      <c r="O747" s="11" t="s">
        <v>2762</v>
      </c>
    </row>
    <row r="748" spans="1:15" hidden="1" x14ac:dyDescent="0.25">
      <c r="A748" s="11" t="s">
        <v>21</v>
      </c>
      <c r="B748" s="11" t="s">
        <v>2360</v>
      </c>
      <c r="C748" s="12" t="s">
        <v>40</v>
      </c>
      <c r="D748" s="12" t="s">
        <v>2557</v>
      </c>
      <c r="E748" s="13">
        <v>1</v>
      </c>
      <c r="F748" s="111">
        <v>3116</v>
      </c>
      <c r="G748" s="13" t="s">
        <v>2558</v>
      </c>
      <c r="H748" s="14" t="s">
        <v>274</v>
      </c>
      <c r="I748" s="14" t="s">
        <v>2559</v>
      </c>
      <c r="J748" s="12" t="s">
        <v>661</v>
      </c>
      <c r="K748" s="15" t="s">
        <v>2560</v>
      </c>
      <c r="O748" s="11" t="s">
        <v>2561</v>
      </c>
    </row>
    <row r="749" spans="1:15" hidden="1" x14ac:dyDescent="0.25">
      <c r="A749" s="11" t="s">
        <v>134</v>
      </c>
      <c r="B749" s="11" t="s">
        <v>134</v>
      </c>
      <c r="C749" s="12" t="s">
        <v>134</v>
      </c>
      <c r="D749" s="12" t="s">
        <v>2</v>
      </c>
      <c r="E749" s="13" t="s">
        <v>2</v>
      </c>
      <c r="F749" s="111" t="s">
        <v>2</v>
      </c>
      <c r="G749" s="13" t="s">
        <v>2</v>
      </c>
      <c r="H749" s="14" t="s">
        <v>2</v>
      </c>
      <c r="I749" s="14" t="s">
        <v>21</v>
      </c>
      <c r="J749" s="12" t="s">
        <v>21</v>
      </c>
      <c r="K749" s="15" t="s">
        <v>21</v>
      </c>
      <c r="L749" s="16" t="s">
        <v>21</v>
      </c>
      <c r="M749" s="16" t="s">
        <v>23</v>
      </c>
      <c r="N749" s="58" t="s">
        <v>21</v>
      </c>
      <c r="O749" s="11" t="s">
        <v>23</v>
      </c>
    </row>
    <row r="750" spans="1:15" hidden="1" x14ac:dyDescent="0.25">
      <c r="A750" s="11" t="s">
        <v>21</v>
      </c>
      <c r="B750" s="11" t="s">
        <v>2360</v>
      </c>
      <c r="C750" s="12" t="s">
        <v>40</v>
      </c>
      <c r="D750" s="12" t="s">
        <v>2787</v>
      </c>
      <c r="E750" s="13">
        <v>1</v>
      </c>
      <c r="F750" s="111">
        <v>3116</v>
      </c>
      <c r="G750" s="13" t="s">
        <v>3140</v>
      </c>
      <c r="H750" s="14" t="s">
        <v>274</v>
      </c>
      <c r="I750" s="14" t="s">
        <v>3141</v>
      </c>
      <c r="J750" s="12" t="s">
        <v>661</v>
      </c>
      <c r="K750" s="15" t="s">
        <v>3142</v>
      </c>
      <c r="O750" s="11" t="s">
        <v>3136</v>
      </c>
    </row>
    <row r="751" spans="1:15" hidden="1" x14ac:dyDescent="0.25">
      <c r="A751" s="11" t="s">
        <v>21</v>
      </c>
      <c r="B751" s="11" t="s">
        <v>2360</v>
      </c>
      <c r="C751" s="12" t="s">
        <v>40</v>
      </c>
      <c r="D751" s="12" t="s">
        <v>3143</v>
      </c>
      <c r="E751" s="13">
        <v>1</v>
      </c>
      <c r="F751" s="111">
        <v>3116</v>
      </c>
      <c r="G751" s="13" t="s">
        <v>3148</v>
      </c>
      <c r="H751" s="14" t="s">
        <v>274</v>
      </c>
      <c r="I751" s="14" t="s">
        <v>3149</v>
      </c>
      <c r="J751" s="12" t="s">
        <v>661</v>
      </c>
      <c r="K751" s="15" t="s">
        <v>3150</v>
      </c>
      <c r="O751" s="11" t="s">
        <v>3147</v>
      </c>
    </row>
    <row r="752" spans="1:15" hidden="1" x14ac:dyDescent="0.25">
      <c r="A752" s="11" t="s">
        <v>21</v>
      </c>
      <c r="B752" s="11" t="s">
        <v>2360</v>
      </c>
      <c r="C752" s="12" t="s">
        <v>40</v>
      </c>
      <c r="D752" s="12" t="s">
        <v>3154</v>
      </c>
      <c r="E752" s="13">
        <v>1</v>
      </c>
      <c r="F752" s="111">
        <v>3116</v>
      </c>
      <c r="G752" s="13" t="s">
        <v>3155</v>
      </c>
      <c r="H752" s="14" t="s">
        <v>274</v>
      </c>
      <c r="I752" s="14" t="s">
        <v>3156</v>
      </c>
      <c r="J752" s="12" t="s">
        <v>661</v>
      </c>
      <c r="K752" s="15" t="s">
        <v>3157</v>
      </c>
      <c r="O752" s="11" t="s">
        <v>3158</v>
      </c>
    </row>
    <row r="753" spans="1:15" hidden="1" x14ac:dyDescent="0.25">
      <c r="A753" s="11" t="s">
        <v>134</v>
      </c>
      <c r="B753" s="11" t="s">
        <v>134</v>
      </c>
      <c r="C753" s="12" t="s">
        <v>134</v>
      </c>
      <c r="D753" s="12" t="s">
        <v>2</v>
      </c>
      <c r="E753" s="13" t="s">
        <v>2</v>
      </c>
      <c r="F753" s="111" t="s">
        <v>2</v>
      </c>
      <c r="G753" s="13" t="s">
        <v>2</v>
      </c>
      <c r="H753" s="14" t="s">
        <v>2</v>
      </c>
      <c r="I753" s="14" t="s">
        <v>21</v>
      </c>
      <c r="J753" s="12" t="s">
        <v>21</v>
      </c>
      <c r="K753" s="15" t="s">
        <v>21</v>
      </c>
      <c r="L753" s="16" t="s">
        <v>21</v>
      </c>
      <c r="M753" s="16" t="s">
        <v>21</v>
      </c>
      <c r="N753" s="58" t="s">
        <v>21</v>
      </c>
      <c r="O753" s="11" t="s">
        <v>21</v>
      </c>
    </row>
    <row r="754" spans="1:15" hidden="1" x14ac:dyDescent="0.25">
      <c r="A754" s="11" t="s">
        <v>21</v>
      </c>
      <c r="B754" s="11" t="s">
        <v>2360</v>
      </c>
      <c r="C754" s="12" t="s">
        <v>40</v>
      </c>
      <c r="D754" s="12" t="s">
        <v>3143</v>
      </c>
      <c r="E754" s="13">
        <v>2</v>
      </c>
      <c r="F754" s="111">
        <v>3116</v>
      </c>
      <c r="G754" s="13" t="s">
        <v>3144</v>
      </c>
      <c r="H754" s="14" t="s">
        <v>274</v>
      </c>
      <c r="I754" s="14" t="s">
        <v>3145</v>
      </c>
      <c r="J754" s="12" t="s">
        <v>661</v>
      </c>
      <c r="K754" s="15" t="s">
        <v>3146</v>
      </c>
      <c r="O754" s="11" t="s">
        <v>3147</v>
      </c>
    </row>
    <row r="755" spans="1:15" hidden="1" x14ac:dyDescent="0.25">
      <c r="A755" s="11" t="s">
        <v>21</v>
      </c>
      <c r="B755" s="11" t="s">
        <v>2360</v>
      </c>
      <c r="C755" s="12" t="s">
        <v>40</v>
      </c>
      <c r="D755" s="12" t="s">
        <v>2787</v>
      </c>
      <c r="E755" s="13">
        <v>2</v>
      </c>
      <c r="F755" s="111">
        <v>3116</v>
      </c>
      <c r="G755" s="13" t="s">
        <v>3162</v>
      </c>
      <c r="H755" s="14" t="s">
        <v>274</v>
      </c>
      <c r="I755" s="14" t="s">
        <v>3163</v>
      </c>
      <c r="J755" s="12" t="s">
        <v>661</v>
      </c>
      <c r="K755" s="15" t="s">
        <v>3164</v>
      </c>
      <c r="O755" s="11" t="s">
        <v>3136</v>
      </c>
    </row>
    <row r="756" spans="1:15" hidden="1" x14ac:dyDescent="0.25">
      <c r="A756" s="11" t="s">
        <v>134</v>
      </c>
      <c r="B756" s="11" t="s">
        <v>134</v>
      </c>
      <c r="C756" s="12" t="s">
        <v>134</v>
      </c>
      <c r="D756" s="12" t="s">
        <v>2</v>
      </c>
      <c r="E756" s="13" t="s">
        <v>2</v>
      </c>
      <c r="F756" s="111" t="s">
        <v>2</v>
      </c>
      <c r="G756" s="13" t="s">
        <v>2</v>
      </c>
      <c r="H756" s="14" t="s">
        <v>2</v>
      </c>
      <c r="I756" s="14" t="s">
        <v>21</v>
      </c>
      <c r="J756" s="12" t="s">
        <v>21</v>
      </c>
      <c r="K756" s="15" t="s">
        <v>21</v>
      </c>
      <c r="L756" s="16" t="s">
        <v>21</v>
      </c>
      <c r="M756" s="16" t="s">
        <v>23</v>
      </c>
      <c r="N756" s="58" t="s">
        <v>21</v>
      </c>
      <c r="O756" s="11" t="s">
        <v>23</v>
      </c>
    </row>
    <row r="757" spans="1:15" hidden="1" x14ac:dyDescent="0.25">
      <c r="A757" s="11" t="s">
        <v>21</v>
      </c>
      <c r="B757" s="11" t="s">
        <v>2360</v>
      </c>
      <c r="C757" s="12" t="s">
        <v>40</v>
      </c>
      <c r="D757" s="12" t="s">
        <v>3165</v>
      </c>
      <c r="E757" s="13">
        <v>2</v>
      </c>
      <c r="F757" s="111">
        <v>3116</v>
      </c>
      <c r="G757" s="13" t="s">
        <v>3166</v>
      </c>
      <c r="H757" s="14" t="s">
        <v>274</v>
      </c>
      <c r="I757" s="14" t="s">
        <v>3167</v>
      </c>
      <c r="J757" s="12" t="s">
        <v>661</v>
      </c>
      <c r="K757" s="15" t="s">
        <v>3168</v>
      </c>
      <c r="O757" s="11" t="s">
        <v>3169</v>
      </c>
    </row>
    <row r="758" spans="1:15" hidden="1" x14ac:dyDescent="0.25">
      <c r="A758" s="11" t="s">
        <v>21</v>
      </c>
      <c r="B758" s="11" t="s">
        <v>2360</v>
      </c>
      <c r="C758" s="12" t="s">
        <v>40</v>
      </c>
      <c r="D758" s="12" t="s">
        <v>2787</v>
      </c>
      <c r="E758" s="13">
        <v>3</v>
      </c>
      <c r="F758" s="111">
        <v>3116</v>
      </c>
      <c r="G758" s="13" t="s">
        <v>3159</v>
      </c>
      <c r="H758" s="14" t="s">
        <v>274</v>
      </c>
      <c r="I758" s="14" t="s">
        <v>3160</v>
      </c>
      <c r="J758" s="12" t="s">
        <v>661</v>
      </c>
      <c r="K758" s="15" t="s">
        <v>3161</v>
      </c>
      <c r="O758" s="11" t="s">
        <v>3136</v>
      </c>
    </row>
    <row r="759" spans="1:15" hidden="1" x14ac:dyDescent="0.25">
      <c r="A759" s="11" t="s">
        <v>134</v>
      </c>
      <c r="B759" s="11" t="s">
        <v>134</v>
      </c>
      <c r="C759" s="12" t="s">
        <v>134</v>
      </c>
      <c r="D759" s="12" t="s">
        <v>2</v>
      </c>
      <c r="E759" s="13" t="s">
        <v>2</v>
      </c>
      <c r="F759" s="111" t="s">
        <v>2</v>
      </c>
      <c r="G759" s="13" t="s">
        <v>2</v>
      </c>
      <c r="H759" s="14" t="s">
        <v>2</v>
      </c>
      <c r="I759" s="14" t="s">
        <v>21</v>
      </c>
      <c r="J759" s="12" t="s">
        <v>21</v>
      </c>
      <c r="K759" s="15" t="s">
        <v>21</v>
      </c>
      <c r="L759" s="16" t="s">
        <v>21</v>
      </c>
      <c r="M759" s="16" t="s">
        <v>23</v>
      </c>
      <c r="N759" s="58" t="s">
        <v>21</v>
      </c>
      <c r="O759" s="11" t="s">
        <v>23</v>
      </c>
    </row>
    <row r="760" spans="1:15" hidden="1" x14ac:dyDescent="0.25">
      <c r="A760" s="11" t="s">
        <v>21</v>
      </c>
      <c r="B760" s="11" t="s">
        <v>2360</v>
      </c>
      <c r="C760" s="12" t="s">
        <v>40</v>
      </c>
      <c r="D760" s="12" t="s">
        <v>2787</v>
      </c>
      <c r="E760" s="13">
        <v>4</v>
      </c>
      <c r="F760" s="111">
        <v>3116</v>
      </c>
      <c r="G760" s="13" t="s">
        <v>3137</v>
      </c>
      <c r="H760" s="14" t="s">
        <v>274</v>
      </c>
      <c r="I760" s="14" t="s">
        <v>3138</v>
      </c>
      <c r="J760" s="12" t="s">
        <v>661</v>
      </c>
      <c r="K760" s="15" t="s">
        <v>3139</v>
      </c>
      <c r="O760" s="11" t="s">
        <v>3136</v>
      </c>
    </row>
    <row r="761" spans="1:15" hidden="1" x14ac:dyDescent="0.25">
      <c r="A761" s="11" t="s">
        <v>134</v>
      </c>
      <c r="B761" s="11" t="s">
        <v>134</v>
      </c>
      <c r="C761" s="12" t="s">
        <v>2</v>
      </c>
      <c r="D761" s="12" t="s">
        <v>2</v>
      </c>
      <c r="E761" s="13" t="s">
        <v>2</v>
      </c>
      <c r="F761" s="111" t="s">
        <v>2</v>
      </c>
      <c r="G761" s="13" t="s">
        <v>2</v>
      </c>
      <c r="H761" s="14" t="s">
        <v>2</v>
      </c>
      <c r="I761" s="14" t="s">
        <v>21</v>
      </c>
      <c r="J761" s="12" t="s">
        <v>21</v>
      </c>
      <c r="K761" s="15" t="s">
        <v>23</v>
      </c>
      <c r="L761" s="16" t="s">
        <v>21</v>
      </c>
      <c r="M761" s="16" t="s">
        <v>21</v>
      </c>
      <c r="N761" s="58" t="s">
        <v>23</v>
      </c>
      <c r="O761" s="11" t="s">
        <v>21</v>
      </c>
    </row>
    <row r="762" spans="1:15" hidden="1" x14ac:dyDescent="0.25">
      <c r="A762" s="11" t="s">
        <v>21</v>
      </c>
      <c r="B762" s="11" t="s">
        <v>2360</v>
      </c>
      <c r="C762" s="12" t="s">
        <v>40</v>
      </c>
      <c r="D762" s="12" t="s">
        <v>2787</v>
      </c>
      <c r="E762" s="13">
        <v>5</v>
      </c>
      <c r="F762" s="111">
        <v>3116</v>
      </c>
      <c r="G762" s="13" t="s">
        <v>3133</v>
      </c>
      <c r="H762" s="14" t="s">
        <v>274</v>
      </c>
      <c r="I762" s="14" t="s">
        <v>3134</v>
      </c>
      <c r="J762" s="12" t="s">
        <v>661</v>
      </c>
      <c r="K762" s="15" t="s">
        <v>3135</v>
      </c>
      <c r="O762" s="11" t="s">
        <v>3136</v>
      </c>
    </row>
    <row r="763" spans="1:15" hidden="1" x14ac:dyDescent="0.25">
      <c r="A763" s="11" t="s">
        <v>21</v>
      </c>
      <c r="B763" s="11" t="s">
        <v>2360</v>
      </c>
      <c r="C763" s="12" t="s">
        <v>40</v>
      </c>
      <c r="D763" s="12" t="s">
        <v>2787</v>
      </c>
      <c r="E763" s="13">
        <v>6</v>
      </c>
      <c r="F763" s="111">
        <v>3116</v>
      </c>
      <c r="G763" s="13" t="s">
        <v>3151</v>
      </c>
      <c r="H763" s="14" t="s">
        <v>274</v>
      </c>
      <c r="I763" s="14" t="s">
        <v>3152</v>
      </c>
      <c r="J763" s="12" t="s">
        <v>661</v>
      </c>
      <c r="K763" s="15" t="s">
        <v>3153</v>
      </c>
      <c r="O763" s="11" t="s">
        <v>3136</v>
      </c>
    </row>
    <row r="764" spans="1:15" hidden="1" x14ac:dyDescent="0.25">
      <c r="A764" s="11" t="s">
        <v>21</v>
      </c>
      <c r="B764" s="11" t="s">
        <v>2360</v>
      </c>
      <c r="C764" s="12" t="s">
        <v>40</v>
      </c>
      <c r="D764" s="12" t="s">
        <v>2963</v>
      </c>
      <c r="E764" s="13">
        <v>1</v>
      </c>
      <c r="F764" s="111">
        <v>3117</v>
      </c>
      <c r="G764" s="13" t="s">
        <v>2964</v>
      </c>
      <c r="H764" s="14" t="s">
        <v>274</v>
      </c>
      <c r="I764" s="14" t="s">
        <v>2965</v>
      </c>
      <c r="J764" s="12" t="s">
        <v>661</v>
      </c>
      <c r="K764" s="15" t="s">
        <v>2966</v>
      </c>
      <c r="O764" s="11" t="s">
        <v>2967</v>
      </c>
    </row>
    <row r="765" spans="1:15" hidden="1" x14ac:dyDescent="0.25">
      <c r="A765" s="11" t="s">
        <v>21</v>
      </c>
      <c r="B765" s="11" t="s">
        <v>2360</v>
      </c>
      <c r="C765" s="12" t="s">
        <v>40</v>
      </c>
      <c r="D765" s="12" t="s">
        <v>2968</v>
      </c>
      <c r="E765" s="13">
        <v>1</v>
      </c>
      <c r="F765" s="111">
        <v>3117</v>
      </c>
      <c r="G765" s="13" t="s">
        <v>2969</v>
      </c>
      <c r="H765" s="14" t="s">
        <v>274</v>
      </c>
      <c r="I765" s="14" t="s">
        <v>2970</v>
      </c>
      <c r="J765" s="12" t="s">
        <v>661</v>
      </c>
      <c r="K765" s="15" t="s">
        <v>2971</v>
      </c>
      <c r="O765" s="11" t="s">
        <v>2972</v>
      </c>
    </row>
    <row r="766" spans="1:15" hidden="1" x14ac:dyDescent="0.25">
      <c r="A766" s="11" t="s">
        <v>21</v>
      </c>
      <c r="B766" s="11" t="s">
        <v>2360</v>
      </c>
      <c r="C766" s="12" t="s">
        <v>40</v>
      </c>
      <c r="D766" s="12" t="s">
        <v>2973</v>
      </c>
      <c r="E766" s="13">
        <v>1</v>
      </c>
      <c r="F766" s="111">
        <v>3117</v>
      </c>
      <c r="G766" s="13" t="s">
        <v>2974</v>
      </c>
      <c r="H766" s="14" t="s">
        <v>274</v>
      </c>
      <c r="I766" s="14" t="s">
        <v>2975</v>
      </c>
      <c r="J766" s="12" t="s">
        <v>661</v>
      </c>
      <c r="K766" s="15" t="s">
        <v>2976</v>
      </c>
      <c r="O766" s="11" t="s">
        <v>2977</v>
      </c>
    </row>
    <row r="767" spans="1:15" hidden="1" x14ac:dyDescent="0.25">
      <c r="A767" s="11" t="s">
        <v>21</v>
      </c>
      <c r="B767" s="11" t="s">
        <v>2360</v>
      </c>
      <c r="C767" s="12" t="s">
        <v>40</v>
      </c>
      <c r="D767" s="12" t="s">
        <v>2978</v>
      </c>
      <c r="E767" s="13">
        <v>1</v>
      </c>
      <c r="F767" s="111">
        <v>3117</v>
      </c>
      <c r="G767" s="13" t="s">
        <v>2979</v>
      </c>
      <c r="H767" s="14" t="s">
        <v>274</v>
      </c>
      <c r="I767" s="14" t="s">
        <v>2980</v>
      </c>
      <c r="J767" s="12" t="s">
        <v>661</v>
      </c>
      <c r="K767" s="15" t="s">
        <v>2981</v>
      </c>
      <c r="O767" s="11" t="s">
        <v>2982</v>
      </c>
    </row>
    <row r="768" spans="1:15" hidden="1" x14ac:dyDescent="0.25">
      <c r="A768" s="11" t="s">
        <v>21</v>
      </c>
      <c r="B768" s="11" t="s">
        <v>2360</v>
      </c>
      <c r="C768" s="12" t="s">
        <v>40</v>
      </c>
      <c r="D768" s="12" t="s">
        <v>2476</v>
      </c>
      <c r="E768" s="13">
        <v>1</v>
      </c>
      <c r="F768" s="111">
        <v>3118</v>
      </c>
      <c r="G768" s="13" t="s">
        <v>2477</v>
      </c>
      <c r="H768" s="14" t="s">
        <v>274</v>
      </c>
      <c r="I768" s="14" t="s">
        <v>2478</v>
      </c>
      <c r="J768" s="12" t="s">
        <v>643</v>
      </c>
      <c r="K768" s="15" t="s">
        <v>2479</v>
      </c>
      <c r="O768" s="11" t="s">
        <v>2480</v>
      </c>
    </row>
    <row r="769" spans="1:15" hidden="1" x14ac:dyDescent="0.25">
      <c r="A769" s="11" t="s">
        <v>21</v>
      </c>
      <c r="B769" s="11" t="s">
        <v>2360</v>
      </c>
      <c r="C769" s="12" t="s">
        <v>40</v>
      </c>
      <c r="D769" s="12" t="s">
        <v>2486</v>
      </c>
      <c r="E769" s="13">
        <v>1</v>
      </c>
      <c r="F769" s="111">
        <v>3118</v>
      </c>
      <c r="G769" s="13" t="s">
        <v>2554</v>
      </c>
      <c r="H769" s="14" t="s">
        <v>274</v>
      </c>
      <c r="I769" s="14" t="s">
        <v>2555</v>
      </c>
      <c r="J769" s="12" t="s">
        <v>661</v>
      </c>
      <c r="K769" s="15" t="s">
        <v>2556</v>
      </c>
      <c r="O769" s="11" t="s">
        <v>2490</v>
      </c>
    </row>
    <row r="770" spans="1:15" hidden="1" x14ac:dyDescent="0.25">
      <c r="A770" s="11" t="s">
        <v>21</v>
      </c>
      <c r="B770" s="11" t="s">
        <v>2360</v>
      </c>
      <c r="C770" s="12" t="s">
        <v>40</v>
      </c>
      <c r="D770" s="12" t="s">
        <v>2562</v>
      </c>
      <c r="E770" s="13">
        <v>1</v>
      </c>
      <c r="F770" s="111">
        <v>3118</v>
      </c>
      <c r="G770" s="13" t="s">
        <v>2563</v>
      </c>
      <c r="H770" s="14" t="s">
        <v>274</v>
      </c>
      <c r="I770" s="14" t="s">
        <v>2564</v>
      </c>
      <c r="J770" s="12" t="s">
        <v>661</v>
      </c>
      <c r="K770" s="15" t="s">
        <v>2565</v>
      </c>
      <c r="O770" s="11" t="s">
        <v>2566</v>
      </c>
    </row>
    <row r="771" spans="1:15" hidden="1" x14ac:dyDescent="0.25">
      <c r="A771" s="11" t="s">
        <v>21</v>
      </c>
      <c r="B771" s="11" t="s">
        <v>2360</v>
      </c>
      <c r="C771" s="12" t="s">
        <v>40</v>
      </c>
      <c r="D771" s="12" t="s">
        <v>2580</v>
      </c>
      <c r="E771" s="13">
        <v>1</v>
      </c>
      <c r="F771" s="111">
        <v>3118</v>
      </c>
      <c r="G771" s="13" t="s">
        <v>2590</v>
      </c>
      <c r="H771" s="14" t="s">
        <v>274</v>
      </c>
      <c r="I771" s="14" t="s">
        <v>2591</v>
      </c>
      <c r="J771" s="12" t="s">
        <v>661</v>
      </c>
      <c r="K771" s="15" t="s">
        <v>2592</v>
      </c>
      <c r="O771" s="11" t="s">
        <v>2584</v>
      </c>
    </row>
    <row r="772" spans="1:15" hidden="1" x14ac:dyDescent="0.25">
      <c r="A772" s="11" t="s">
        <v>21</v>
      </c>
      <c r="B772" s="11" t="s">
        <v>2360</v>
      </c>
      <c r="C772" s="12" t="s">
        <v>40</v>
      </c>
      <c r="D772" s="12" t="s">
        <v>2598</v>
      </c>
      <c r="E772" s="13">
        <v>1</v>
      </c>
      <c r="F772" s="111">
        <v>3118</v>
      </c>
      <c r="G772" s="13" t="s">
        <v>2599</v>
      </c>
      <c r="H772" s="14" t="s">
        <v>274</v>
      </c>
      <c r="I772" s="14" t="s">
        <v>2600</v>
      </c>
      <c r="J772" s="12" t="s">
        <v>661</v>
      </c>
      <c r="K772" s="15" t="s">
        <v>2601</v>
      </c>
      <c r="O772" s="11" t="s">
        <v>2602</v>
      </c>
    </row>
    <row r="773" spans="1:15" hidden="1" x14ac:dyDescent="0.25">
      <c r="A773" s="11" t="s">
        <v>21</v>
      </c>
      <c r="B773" s="11" t="s">
        <v>2360</v>
      </c>
      <c r="C773" s="12" t="s">
        <v>40</v>
      </c>
      <c r="D773" s="12" t="s">
        <v>2608</v>
      </c>
      <c r="E773" s="13">
        <v>1</v>
      </c>
      <c r="F773" s="111">
        <v>3118</v>
      </c>
      <c r="G773" s="13" t="s">
        <v>2613</v>
      </c>
      <c r="H773" s="14" t="s">
        <v>274</v>
      </c>
      <c r="I773" s="14" t="s">
        <v>2614</v>
      </c>
      <c r="J773" s="12" t="s">
        <v>661</v>
      </c>
      <c r="K773" s="15" t="s">
        <v>2615</v>
      </c>
      <c r="O773" s="11" t="s">
        <v>2612</v>
      </c>
    </row>
    <row r="774" spans="1:15" hidden="1" x14ac:dyDescent="0.25">
      <c r="A774" s="11" t="s">
        <v>21</v>
      </c>
      <c r="B774" s="11" t="s">
        <v>2360</v>
      </c>
      <c r="C774" s="12" t="s">
        <v>40</v>
      </c>
      <c r="D774" s="12" t="s">
        <v>2705</v>
      </c>
      <c r="E774" s="13">
        <v>1</v>
      </c>
      <c r="F774" s="111">
        <v>3118</v>
      </c>
      <c r="G774" s="13" t="s">
        <v>2721</v>
      </c>
      <c r="H774" s="14" t="s">
        <v>274</v>
      </c>
      <c r="I774" s="14" t="s">
        <v>2722</v>
      </c>
      <c r="J774" s="12" t="s">
        <v>661</v>
      </c>
      <c r="K774" s="15" t="s">
        <v>2723</v>
      </c>
      <c r="O774" s="11" t="s">
        <v>2709</v>
      </c>
    </row>
    <row r="775" spans="1:15" hidden="1" x14ac:dyDescent="0.25">
      <c r="A775" s="11" t="s">
        <v>21</v>
      </c>
      <c r="B775" s="11" t="s">
        <v>2360</v>
      </c>
      <c r="C775" s="12" t="s">
        <v>40</v>
      </c>
      <c r="D775" s="12" t="s">
        <v>2486</v>
      </c>
      <c r="E775" s="13">
        <v>2</v>
      </c>
      <c r="F775" s="111">
        <v>3118</v>
      </c>
      <c r="G775" s="13" t="s">
        <v>2487</v>
      </c>
      <c r="H775" s="14" t="s">
        <v>274</v>
      </c>
      <c r="I775" s="14" t="s">
        <v>2488</v>
      </c>
      <c r="J775" s="12" t="s">
        <v>661</v>
      </c>
      <c r="K775" s="15" t="s">
        <v>2489</v>
      </c>
      <c r="O775" s="11" t="s">
        <v>2490</v>
      </c>
    </row>
    <row r="776" spans="1:15" hidden="1" x14ac:dyDescent="0.25">
      <c r="A776" s="11" t="s">
        <v>21</v>
      </c>
      <c r="B776" s="11" t="s">
        <v>2360</v>
      </c>
      <c r="C776" s="12" t="s">
        <v>40</v>
      </c>
      <c r="D776" s="12" t="s">
        <v>2562</v>
      </c>
      <c r="E776" s="13">
        <v>2</v>
      </c>
      <c r="F776" s="111">
        <v>3118</v>
      </c>
      <c r="G776" s="13" t="s">
        <v>2572</v>
      </c>
      <c r="H776" s="14" t="s">
        <v>274</v>
      </c>
      <c r="I776" s="14" t="s">
        <v>2573</v>
      </c>
      <c r="J776" s="12" t="s">
        <v>661</v>
      </c>
      <c r="K776" s="15" t="s">
        <v>2574</v>
      </c>
      <c r="O776" s="11" t="s">
        <v>2566</v>
      </c>
    </row>
    <row r="777" spans="1:15" hidden="1" x14ac:dyDescent="0.25">
      <c r="A777" s="11" t="s">
        <v>21</v>
      </c>
      <c r="B777" s="11" t="s">
        <v>2360</v>
      </c>
      <c r="C777" s="12" t="s">
        <v>40</v>
      </c>
      <c r="D777" s="12" t="s">
        <v>2580</v>
      </c>
      <c r="E777" s="13">
        <v>2</v>
      </c>
      <c r="F777" s="111">
        <v>3118</v>
      </c>
      <c r="G777" s="13" t="s">
        <v>2581</v>
      </c>
      <c r="H777" s="14" t="s">
        <v>274</v>
      </c>
      <c r="I777" s="14" t="s">
        <v>2582</v>
      </c>
      <c r="J777" s="12" t="s">
        <v>661</v>
      </c>
      <c r="K777" s="15" t="s">
        <v>2583</v>
      </c>
      <c r="O777" s="11" t="s">
        <v>2584</v>
      </c>
    </row>
    <row r="778" spans="1:15" hidden="1" x14ac:dyDescent="0.25">
      <c r="A778" s="11" t="s">
        <v>21</v>
      </c>
      <c r="B778" s="11" t="s">
        <v>2360</v>
      </c>
      <c r="C778" s="12" t="s">
        <v>40</v>
      </c>
      <c r="D778" s="12" t="s">
        <v>2608</v>
      </c>
      <c r="E778" s="13">
        <v>2</v>
      </c>
      <c r="F778" s="111">
        <v>3118</v>
      </c>
      <c r="G778" s="13" t="s">
        <v>2609</v>
      </c>
      <c r="H778" s="14" t="s">
        <v>274</v>
      </c>
      <c r="I778" s="14" t="s">
        <v>2610</v>
      </c>
      <c r="J778" s="12" t="s">
        <v>661</v>
      </c>
      <c r="K778" s="15" t="s">
        <v>2611</v>
      </c>
      <c r="O778" s="11" t="s">
        <v>2612</v>
      </c>
    </row>
    <row r="779" spans="1:15" hidden="1" x14ac:dyDescent="0.25">
      <c r="A779" s="11" t="s">
        <v>21</v>
      </c>
      <c r="B779" s="11" t="s">
        <v>2360</v>
      </c>
      <c r="C779" s="12" t="s">
        <v>40</v>
      </c>
      <c r="D779" s="12" t="s">
        <v>2705</v>
      </c>
      <c r="E779" s="13">
        <v>2</v>
      </c>
      <c r="F779" s="111">
        <v>3118</v>
      </c>
      <c r="G779" s="13" t="s">
        <v>2717</v>
      </c>
      <c r="H779" s="14" t="s">
        <v>274</v>
      </c>
      <c r="I779" s="14" t="s">
        <v>2718</v>
      </c>
      <c r="J779" s="12" t="s">
        <v>661</v>
      </c>
      <c r="K779" s="15" t="s">
        <v>2719</v>
      </c>
      <c r="O779" s="11" t="s">
        <v>2709</v>
      </c>
    </row>
    <row r="780" spans="1:15" hidden="1" x14ac:dyDescent="0.25">
      <c r="A780" s="11" t="s">
        <v>21</v>
      </c>
      <c r="B780" s="11" t="s">
        <v>2360</v>
      </c>
      <c r="C780" s="12" t="s">
        <v>40</v>
      </c>
      <c r="D780" s="12" t="s">
        <v>2705</v>
      </c>
      <c r="E780" s="13">
        <v>3</v>
      </c>
      <c r="F780" s="111">
        <v>3118</v>
      </c>
      <c r="G780" s="13" t="s">
        <v>2714</v>
      </c>
      <c r="H780" s="14" t="s">
        <v>274</v>
      </c>
      <c r="I780" s="14" t="s">
        <v>2715</v>
      </c>
      <c r="J780" s="12" t="s">
        <v>661</v>
      </c>
      <c r="K780" s="15" t="s">
        <v>2716</v>
      </c>
      <c r="O780" s="11" t="s">
        <v>2709</v>
      </c>
    </row>
    <row r="781" spans="1:15" hidden="1" x14ac:dyDescent="0.25">
      <c r="A781" s="11" t="s">
        <v>21</v>
      </c>
      <c r="B781" s="11" t="s">
        <v>2360</v>
      </c>
      <c r="C781" s="12" t="s">
        <v>40</v>
      </c>
      <c r="D781" s="12" t="s">
        <v>2705</v>
      </c>
      <c r="E781" s="13">
        <v>4</v>
      </c>
      <c r="F781" s="111">
        <v>3118</v>
      </c>
      <c r="G781" s="13" t="s">
        <v>2706</v>
      </c>
      <c r="H781" s="14" t="s">
        <v>274</v>
      </c>
      <c r="I781" s="14" t="s">
        <v>2707</v>
      </c>
      <c r="J781" s="12" t="s">
        <v>661</v>
      </c>
      <c r="K781" s="15" t="s">
        <v>2708</v>
      </c>
      <c r="O781" s="11" t="s">
        <v>2709</v>
      </c>
    </row>
    <row r="782" spans="1:15" hidden="1" x14ac:dyDescent="0.25">
      <c r="A782" s="11" t="s">
        <v>134</v>
      </c>
      <c r="D782" s="12" t="s">
        <v>168</v>
      </c>
      <c r="G782" s="13" t="s">
        <v>169</v>
      </c>
      <c r="H782" s="14" t="s">
        <v>168</v>
      </c>
      <c r="I782" s="14" t="s">
        <v>170</v>
      </c>
      <c r="K782" s="15" t="s">
        <v>171</v>
      </c>
      <c r="O782" s="11" t="s">
        <v>3263</v>
      </c>
    </row>
    <row r="783" spans="1:15" hidden="1" x14ac:dyDescent="0.25">
      <c r="A783" s="11" t="s">
        <v>134</v>
      </c>
      <c r="D783" s="12" t="s">
        <v>173</v>
      </c>
      <c r="G783" s="13" t="s">
        <v>174</v>
      </c>
      <c r="H783" s="14" t="s">
        <v>175</v>
      </c>
      <c r="I783" s="14" t="s">
        <v>176</v>
      </c>
      <c r="K783" s="15" t="s">
        <v>177</v>
      </c>
      <c r="O783" s="11" t="s">
        <v>3263</v>
      </c>
    </row>
    <row r="784" spans="1:15" hidden="1" x14ac:dyDescent="0.25">
      <c r="A784" s="11" t="s">
        <v>134</v>
      </c>
      <c r="D784" s="12" t="s">
        <v>168</v>
      </c>
      <c r="G784" s="13" t="s">
        <v>169</v>
      </c>
      <c r="H784" s="14" t="s">
        <v>168</v>
      </c>
      <c r="I784" s="14" t="s">
        <v>170</v>
      </c>
      <c r="K784" s="15" t="s">
        <v>171</v>
      </c>
      <c r="O784" s="11" t="s">
        <v>3263</v>
      </c>
    </row>
    <row r="785" spans="1:15" hidden="1" x14ac:dyDescent="0.25">
      <c r="A785" s="11" t="s">
        <v>134</v>
      </c>
      <c r="D785" s="12" t="s">
        <v>168</v>
      </c>
      <c r="G785" s="13" t="s">
        <v>169</v>
      </c>
      <c r="H785" s="14" t="s">
        <v>168</v>
      </c>
      <c r="I785" s="14" t="s">
        <v>170</v>
      </c>
      <c r="K785" s="15" t="s">
        <v>171</v>
      </c>
      <c r="O785" s="11" t="s">
        <v>3263</v>
      </c>
    </row>
    <row r="786" spans="1:15" hidden="1" x14ac:dyDescent="0.25">
      <c r="A786" s="11" t="s">
        <v>21</v>
      </c>
      <c r="B786" s="11" t="s">
        <v>2429</v>
      </c>
      <c r="C786" s="12" t="s">
        <v>2430</v>
      </c>
      <c r="D786" s="12" t="s">
        <v>2809</v>
      </c>
      <c r="E786" s="13">
        <v>1</v>
      </c>
      <c r="F786" s="111">
        <v>3211</v>
      </c>
      <c r="G786" s="13" t="s">
        <v>2810</v>
      </c>
      <c r="H786" s="14" t="s">
        <v>274</v>
      </c>
      <c r="I786" s="14" t="s">
        <v>2811</v>
      </c>
      <c r="J786" s="12" t="s">
        <v>661</v>
      </c>
      <c r="K786" s="15" t="s">
        <v>2812</v>
      </c>
      <c r="O786" s="11" t="s">
        <v>2813</v>
      </c>
    </row>
    <row r="787" spans="1:15" hidden="1" x14ac:dyDescent="0.25">
      <c r="A787" s="11" t="s">
        <v>21</v>
      </c>
      <c r="B787" s="11" t="s">
        <v>2429</v>
      </c>
      <c r="C787" s="12" t="s">
        <v>2430</v>
      </c>
      <c r="D787" s="12" t="s">
        <v>2814</v>
      </c>
      <c r="E787" s="13">
        <v>1</v>
      </c>
      <c r="F787" s="111">
        <v>3211</v>
      </c>
      <c r="G787" s="13" t="s">
        <v>2815</v>
      </c>
      <c r="H787" s="14" t="s">
        <v>274</v>
      </c>
      <c r="I787" s="14" t="s">
        <v>2816</v>
      </c>
      <c r="J787" s="12" t="s">
        <v>661</v>
      </c>
      <c r="K787" s="15" t="s">
        <v>2817</v>
      </c>
      <c r="O787" s="11" t="s">
        <v>2818</v>
      </c>
    </row>
    <row r="788" spans="1:15" hidden="1" x14ac:dyDescent="0.25">
      <c r="A788" s="11" t="s">
        <v>21</v>
      </c>
      <c r="B788" s="11" t="s">
        <v>2429</v>
      </c>
      <c r="C788" s="12" t="s">
        <v>2430</v>
      </c>
      <c r="D788" s="12" t="s">
        <v>2819</v>
      </c>
      <c r="E788" s="13">
        <v>1</v>
      </c>
      <c r="F788" s="111">
        <v>3211</v>
      </c>
      <c r="G788" s="13" t="s">
        <v>2820</v>
      </c>
      <c r="H788" s="14" t="s">
        <v>274</v>
      </c>
      <c r="I788" s="14" t="s">
        <v>2821</v>
      </c>
      <c r="J788" s="12" t="s">
        <v>661</v>
      </c>
      <c r="K788" s="15" t="s">
        <v>2822</v>
      </c>
      <c r="O788" s="11" t="s">
        <v>2823</v>
      </c>
    </row>
    <row r="789" spans="1:15" hidden="1" x14ac:dyDescent="0.25">
      <c r="A789" s="11" t="s">
        <v>21</v>
      </c>
      <c r="B789" s="11" t="s">
        <v>2429</v>
      </c>
      <c r="C789" s="12" t="s">
        <v>2430</v>
      </c>
      <c r="D789" s="12" t="s">
        <v>2824</v>
      </c>
      <c r="E789" s="13">
        <v>1</v>
      </c>
      <c r="F789" s="111">
        <v>3211</v>
      </c>
      <c r="G789" s="13" t="s">
        <v>2825</v>
      </c>
      <c r="H789" s="14" t="s">
        <v>274</v>
      </c>
      <c r="I789" s="14" t="s">
        <v>2826</v>
      </c>
      <c r="J789" s="12" t="s">
        <v>661</v>
      </c>
      <c r="K789" s="15" t="s">
        <v>2827</v>
      </c>
      <c r="O789" s="11" t="s">
        <v>2828</v>
      </c>
    </row>
    <row r="790" spans="1:15" hidden="1" x14ac:dyDescent="0.25">
      <c r="A790" s="11" t="s">
        <v>21</v>
      </c>
      <c r="B790" s="11" t="s">
        <v>2429</v>
      </c>
      <c r="C790" s="12" t="s">
        <v>2430</v>
      </c>
      <c r="D790" s="12" t="s">
        <v>2829</v>
      </c>
      <c r="E790" s="13">
        <v>1</v>
      </c>
      <c r="F790" s="111">
        <v>3211</v>
      </c>
      <c r="G790" s="13" t="s">
        <v>2830</v>
      </c>
      <c r="H790" s="14" t="s">
        <v>274</v>
      </c>
      <c r="I790" s="14" t="s">
        <v>2831</v>
      </c>
      <c r="J790" s="12" t="s">
        <v>661</v>
      </c>
      <c r="K790" s="15" t="s">
        <v>2832</v>
      </c>
      <c r="O790" s="11" t="s">
        <v>2833</v>
      </c>
    </row>
    <row r="791" spans="1:15" hidden="1" x14ac:dyDescent="0.25">
      <c r="A791" s="11" t="s">
        <v>21</v>
      </c>
      <c r="B791" s="11" t="s">
        <v>2429</v>
      </c>
      <c r="C791" s="12" t="s">
        <v>2430</v>
      </c>
      <c r="D791" s="12" t="s">
        <v>2834</v>
      </c>
      <c r="E791" s="13">
        <v>1</v>
      </c>
      <c r="F791" s="111">
        <v>3211</v>
      </c>
      <c r="G791" s="13" t="s">
        <v>2835</v>
      </c>
      <c r="H791" s="14" t="s">
        <v>274</v>
      </c>
      <c r="I791" s="14" t="s">
        <v>2836</v>
      </c>
      <c r="J791" s="12" t="s">
        <v>661</v>
      </c>
      <c r="K791" s="15" t="s">
        <v>2837</v>
      </c>
      <c r="O791" s="11" t="s">
        <v>2838</v>
      </c>
    </row>
    <row r="792" spans="1:15" hidden="1" x14ac:dyDescent="0.25">
      <c r="A792" s="11" t="s">
        <v>21</v>
      </c>
      <c r="B792" s="11" t="s">
        <v>2429</v>
      </c>
      <c r="C792" s="12" t="s">
        <v>2430</v>
      </c>
      <c r="D792" s="12" t="s">
        <v>2839</v>
      </c>
      <c r="E792" s="13">
        <v>1</v>
      </c>
      <c r="F792" s="111">
        <v>3211</v>
      </c>
      <c r="G792" s="13" t="s">
        <v>2840</v>
      </c>
      <c r="H792" s="14" t="s">
        <v>274</v>
      </c>
      <c r="I792" s="14" t="s">
        <v>2841</v>
      </c>
      <c r="J792" s="12" t="s">
        <v>661</v>
      </c>
      <c r="K792" s="15" t="s">
        <v>2842</v>
      </c>
      <c r="O792" s="11" t="s">
        <v>2843</v>
      </c>
    </row>
    <row r="793" spans="1:15" hidden="1" x14ac:dyDescent="0.25">
      <c r="A793" s="11" t="s">
        <v>21</v>
      </c>
      <c r="B793" s="11" t="s">
        <v>2429</v>
      </c>
      <c r="C793" s="12" t="s">
        <v>2430</v>
      </c>
      <c r="D793" s="12" t="s">
        <v>2844</v>
      </c>
      <c r="E793" s="13">
        <v>1</v>
      </c>
      <c r="F793" s="111">
        <v>3211</v>
      </c>
      <c r="G793" s="13" t="s">
        <v>2845</v>
      </c>
      <c r="H793" s="14" t="s">
        <v>274</v>
      </c>
      <c r="I793" s="14" t="s">
        <v>2846</v>
      </c>
      <c r="J793" s="12" t="s">
        <v>661</v>
      </c>
      <c r="K793" s="15" t="s">
        <v>2847</v>
      </c>
      <c r="O793" s="11" t="s">
        <v>2848</v>
      </c>
    </row>
    <row r="794" spans="1:15" hidden="1" x14ac:dyDescent="0.25">
      <c r="A794" s="11" t="s">
        <v>21</v>
      </c>
      <c r="B794" s="11" t="s">
        <v>2429</v>
      </c>
      <c r="C794" s="12" t="s">
        <v>2430</v>
      </c>
      <c r="D794" s="12" t="s">
        <v>2849</v>
      </c>
      <c r="E794" s="13">
        <v>1</v>
      </c>
      <c r="F794" s="111">
        <v>3211</v>
      </c>
      <c r="G794" s="13" t="s">
        <v>2850</v>
      </c>
      <c r="H794" s="14" t="s">
        <v>274</v>
      </c>
      <c r="I794" s="14" t="s">
        <v>2851</v>
      </c>
      <c r="J794" s="12" t="s">
        <v>661</v>
      </c>
      <c r="K794" s="15" t="s">
        <v>2852</v>
      </c>
      <c r="O794" s="11" t="s">
        <v>2853</v>
      </c>
    </row>
    <row r="795" spans="1:15" hidden="1" x14ac:dyDescent="0.25">
      <c r="A795" s="11" t="s">
        <v>23</v>
      </c>
      <c r="B795" s="11" t="s">
        <v>2429</v>
      </c>
      <c r="C795" s="12" t="s">
        <v>2430</v>
      </c>
      <c r="D795" s="12" t="s">
        <v>2436</v>
      </c>
      <c r="E795" s="13">
        <v>1</v>
      </c>
      <c r="F795" s="111">
        <v>3212</v>
      </c>
      <c r="G795" s="13" t="s">
        <v>2437</v>
      </c>
      <c r="H795" s="14" t="s">
        <v>274</v>
      </c>
      <c r="I795" s="14" t="s">
        <v>2438</v>
      </c>
      <c r="J795" s="12" t="s">
        <v>661</v>
      </c>
      <c r="K795" s="15" t="s">
        <v>2439</v>
      </c>
      <c r="O795" s="11" t="s">
        <v>2440</v>
      </c>
    </row>
    <row r="796" spans="1:15" hidden="1" x14ac:dyDescent="0.25">
      <c r="A796" s="11" t="s">
        <v>21</v>
      </c>
      <c r="B796" s="11" t="s">
        <v>2429</v>
      </c>
      <c r="C796" s="12" t="s">
        <v>2430</v>
      </c>
      <c r="D796" s="12" t="s">
        <v>3013</v>
      </c>
      <c r="E796" s="13">
        <v>1</v>
      </c>
      <c r="F796" s="111">
        <v>3213</v>
      </c>
      <c r="G796" s="13" t="s">
        <v>3014</v>
      </c>
      <c r="H796" s="14" t="s">
        <v>554</v>
      </c>
      <c r="I796" s="14" t="s">
        <v>3015</v>
      </c>
      <c r="J796" s="12" t="s">
        <v>555</v>
      </c>
      <c r="K796" s="15" t="s">
        <v>3016</v>
      </c>
      <c r="O796" s="11" t="s">
        <v>3017</v>
      </c>
    </row>
    <row r="797" spans="1:15" hidden="1" x14ac:dyDescent="0.25">
      <c r="A797" s="11" t="s">
        <v>21</v>
      </c>
      <c r="B797" s="11" t="s">
        <v>2429</v>
      </c>
      <c r="C797" s="12" t="s">
        <v>2430</v>
      </c>
      <c r="D797" s="12" t="s">
        <v>3018</v>
      </c>
      <c r="E797" s="13">
        <v>1</v>
      </c>
      <c r="F797" s="111">
        <v>3213</v>
      </c>
      <c r="G797" s="13" t="s">
        <v>3019</v>
      </c>
      <c r="H797" s="14" t="s">
        <v>554</v>
      </c>
      <c r="I797" s="14" t="s">
        <v>3020</v>
      </c>
      <c r="J797" s="12" t="s">
        <v>555</v>
      </c>
      <c r="K797" s="15" t="s">
        <v>3021</v>
      </c>
      <c r="O797" s="11" t="s">
        <v>3022</v>
      </c>
    </row>
    <row r="798" spans="1:15" hidden="1" x14ac:dyDescent="0.25">
      <c r="A798" s="11" t="s">
        <v>21</v>
      </c>
      <c r="B798" s="11" t="s">
        <v>2429</v>
      </c>
      <c r="C798" s="12" t="s">
        <v>2430</v>
      </c>
      <c r="D798" s="12" t="s">
        <v>3023</v>
      </c>
      <c r="E798" s="13">
        <v>1</v>
      </c>
      <c r="F798" s="111">
        <v>3213</v>
      </c>
      <c r="G798" s="13" t="s">
        <v>3024</v>
      </c>
      <c r="H798" s="14" t="s">
        <v>554</v>
      </c>
      <c r="I798" s="14" t="s">
        <v>3025</v>
      </c>
      <c r="J798" s="12" t="s">
        <v>555</v>
      </c>
      <c r="K798" s="15" t="s">
        <v>3026</v>
      </c>
      <c r="O798" s="11" t="s">
        <v>3027</v>
      </c>
    </row>
    <row r="799" spans="1:15" hidden="1" x14ac:dyDescent="0.25">
      <c r="A799" s="11" t="s">
        <v>21</v>
      </c>
      <c r="B799" s="11" t="s">
        <v>2429</v>
      </c>
      <c r="C799" s="12" t="s">
        <v>2430</v>
      </c>
      <c r="D799" s="12" t="s">
        <v>3031</v>
      </c>
      <c r="E799" s="13">
        <v>1</v>
      </c>
      <c r="F799" s="111">
        <v>3213</v>
      </c>
      <c r="G799" s="13" t="s">
        <v>3032</v>
      </c>
      <c r="H799" s="14" t="s">
        <v>554</v>
      </c>
      <c r="I799" s="14" t="s">
        <v>3033</v>
      </c>
      <c r="J799" s="12" t="s">
        <v>555</v>
      </c>
      <c r="K799" s="15" t="s">
        <v>3034</v>
      </c>
      <c r="O799" s="11" t="s">
        <v>3035</v>
      </c>
    </row>
    <row r="800" spans="1:15" hidden="1" x14ac:dyDescent="0.25">
      <c r="A800" s="11" t="s">
        <v>21</v>
      </c>
      <c r="B800" s="11" t="s">
        <v>2429</v>
      </c>
      <c r="C800" s="12" t="s">
        <v>2430</v>
      </c>
      <c r="D800" s="12" t="s">
        <v>3036</v>
      </c>
      <c r="E800" s="13">
        <v>1</v>
      </c>
      <c r="F800" s="111">
        <v>3213</v>
      </c>
      <c r="G800" s="13" t="s">
        <v>3037</v>
      </c>
      <c r="H800" s="14" t="s">
        <v>554</v>
      </c>
      <c r="I800" s="14" t="s">
        <v>3038</v>
      </c>
      <c r="J800" s="12" t="s">
        <v>555</v>
      </c>
      <c r="K800" s="15" t="s">
        <v>3039</v>
      </c>
      <c r="O800" s="11" t="s">
        <v>3040</v>
      </c>
    </row>
    <row r="801" spans="1:15" hidden="1" x14ac:dyDescent="0.25">
      <c r="A801" s="11" t="s">
        <v>21</v>
      </c>
      <c r="B801" s="11" t="s">
        <v>2429</v>
      </c>
      <c r="C801" s="12" t="s">
        <v>2430</v>
      </c>
      <c r="D801" s="12" t="s">
        <v>3041</v>
      </c>
      <c r="E801" s="13">
        <v>1</v>
      </c>
      <c r="F801" s="111">
        <v>3213</v>
      </c>
      <c r="G801" s="13" t="s">
        <v>3042</v>
      </c>
      <c r="H801" s="14" t="s">
        <v>554</v>
      </c>
      <c r="I801" s="14" t="s">
        <v>3043</v>
      </c>
      <c r="J801" s="12" t="s">
        <v>555</v>
      </c>
      <c r="K801" s="15" t="s">
        <v>3044</v>
      </c>
      <c r="O801" s="11" t="s">
        <v>3045</v>
      </c>
    </row>
    <row r="802" spans="1:15" hidden="1" x14ac:dyDescent="0.25">
      <c r="A802" s="11" t="s">
        <v>21</v>
      </c>
      <c r="B802" s="11" t="s">
        <v>2429</v>
      </c>
      <c r="C802" s="12" t="s">
        <v>2430</v>
      </c>
      <c r="D802" s="12" t="s">
        <v>3046</v>
      </c>
      <c r="E802" s="13">
        <v>1</v>
      </c>
      <c r="F802" s="111">
        <v>3213</v>
      </c>
      <c r="G802" s="13" t="s">
        <v>3047</v>
      </c>
      <c r="H802" s="14" t="s">
        <v>554</v>
      </c>
      <c r="I802" s="14" t="s">
        <v>3048</v>
      </c>
      <c r="J802" s="12" t="s">
        <v>555</v>
      </c>
      <c r="K802" s="15" t="s">
        <v>3049</v>
      </c>
      <c r="O802" s="11" t="s">
        <v>3050</v>
      </c>
    </row>
    <row r="803" spans="1:15" hidden="1" x14ac:dyDescent="0.25">
      <c r="A803" s="11" t="s">
        <v>21</v>
      </c>
      <c r="B803" s="11" t="s">
        <v>2429</v>
      </c>
      <c r="C803" s="12" t="s">
        <v>2430</v>
      </c>
      <c r="D803" s="12" t="s">
        <v>3051</v>
      </c>
      <c r="E803" s="13">
        <v>1</v>
      </c>
      <c r="F803" s="111">
        <v>3213</v>
      </c>
      <c r="G803" s="13" t="s">
        <v>3052</v>
      </c>
      <c r="H803" s="14" t="s">
        <v>554</v>
      </c>
      <c r="I803" s="14" t="s">
        <v>3053</v>
      </c>
      <c r="J803" s="12" t="s">
        <v>555</v>
      </c>
      <c r="K803" s="15" t="s">
        <v>3054</v>
      </c>
      <c r="O803" s="11" t="s">
        <v>3055</v>
      </c>
    </row>
    <row r="804" spans="1:15" hidden="1" x14ac:dyDescent="0.25">
      <c r="A804" s="11" t="s">
        <v>21</v>
      </c>
      <c r="B804" s="11" t="s">
        <v>2429</v>
      </c>
      <c r="C804" s="12" t="s">
        <v>2430</v>
      </c>
      <c r="D804" s="12" t="s">
        <v>3023</v>
      </c>
      <c r="E804" s="13">
        <v>2</v>
      </c>
      <c r="F804" s="111">
        <v>3213</v>
      </c>
      <c r="G804" s="13" t="s">
        <v>3028</v>
      </c>
      <c r="H804" s="14" t="s">
        <v>554</v>
      </c>
      <c r="I804" s="14" t="s">
        <v>3029</v>
      </c>
      <c r="J804" s="12" t="s">
        <v>555</v>
      </c>
      <c r="K804" s="15" t="s">
        <v>3030</v>
      </c>
      <c r="O804" s="11" t="s">
        <v>3027</v>
      </c>
    </row>
    <row r="805" spans="1:15" hidden="1" x14ac:dyDescent="0.25">
      <c r="A805" s="11" t="s">
        <v>21</v>
      </c>
      <c r="B805" s="11" t="s">
        <v>2429</v>
      </c>
      <c r="C805" s="12" t="s">
        <v>2430</v>
      </c>
      <c r="D805" s="12" t="s">
        <v>2442</v>
      </c>
      <c r="E805" s="13">
        <v>1</v>
      </c>
      <c r="F805" s="111">
        <v>3214</v>
      </c>
      <c r="G805" s="13" t="s">
        <v>2443</v>
      </c>
      <c r="H805" s="14" t="s">
        <v>274</v>
      </c>
      <c r="I805" s="14" t="s">
        <v>2444</v>
      </c>
      <c r="J805" s="12" t="s">
        <v>661</v>
      </c>
      <c r="K805" s="15" t="s">
        <v>2445</v>
      </c>
      <c r="O805" s="11" t="s">
        <v>2446</v>
      </c>
    </row>
    <row r="806" spans="1:15" hidden="1" x14ac:dyDescent="0.25">
      <c r="A806" s="11" t="s">
        <v>21</v>
      </c>
      <c r="B806" s="11" t="s">
        <v>2429</v>
      </c>
      <c r="C806" s="12" t="s">
        <v>2430</v>
      </c>
      <c r="D806" s="12" t="s">
        <v>2447</v>
      </c>
      <c r="E806" s="13">
        <v>1</v>
      </c>
      <c r="F806" s="111">
        <v>3214</v>
      </c>
      <c r="G806" s="13" t="s">
        <v>2448</v>
      </c>
      <c r="H806" s="14" t="s">
        <v>554</v>
      </c>
      <c r="I806" s="14" t="s">
        <v>2449</v>
      </c>
      <c r="J806" s="12" t="s">
        <v>555</v>
      </c>
      <c r="K806" s="15" t="s">
        <v>2450</v>
      </c>
      <c r="O806" s="11" t="s">
        <v>2451</v>
      </c>
    </row>
    <row r="807" spans="1:15" hidden="1" x14ac:dyDescent="0.25">
      <c r="A807" s="11" t="s">
        <v>21</v>
      </c>
      <c r="B807" s="11" t="s">
        <v>2429</v>
      </c>
      <c r="C807" s="12" t="s">
        <v>2430</v>
      </c>
      <c r="D807" s="12" t="s">
        <v>2452</v>
      </c>
      <c r="E807" s="13">
        <v>1</v>
      </c>
      <c r="F807" s="111">
        <v>3214</v>
      </c>
      <c r="G807" s="13" t="s">
        <v>2453</v>
      </c>
      <c r="H807" s="14" t="s">
        <v>274</v>
      </c>
      <c r="I807" s="14" t="s">
        <v>2454</v>
      </c>
      <c r="J807" s="12" t="s">
        <v>661</v>
      </c>
      <c r="K807" s="15" t="s">
        <v>2455</v>
      </c>
      <c r="O807" s="11" t="s">
        <v>2456</v>
      </c>
    </row>
    <row r="808" spans="1:15" hidden="1" x14ac:dyDescent="0.25">
      <c r="A808" s="11" t="s">
        <v>21</v>
      </c>
      <c r="B808" s="11" t="s">
        <v>2429</v>
      </c>
      <c r="C808" s="12" t="s">
        <v>2430</v>
      </c>
      <c r="D808" s="12" t="s">
        <v>2457</v>
      </c>
      <c r="E808" s="13">
        <v>1</v>
      </c>
      <c r="F808" s="111">
        <v>3214</v>
      </c>
      <c r="G808" s="13" t="s">
        <v>2458</v>
      </c>
      <c r="H808" s="14" t="s">
        <v>274</v>
      </c>
      <c r="I808" s="14" t="s">
        <v>2459</v>
      </c>
      <c r="J808" s="12" t="s">
        <v>661</v>
      </c>
      <c r="K808" s="15" t="s">
        <v>2460</v>
      </c>
      <c r="O808" s="11" t="s">
        <v>2461</v>
      </c>
    </row>
    <row r="809" spans="1:15" hidden="1" x14ac:dyDescent="0.25">
      <c r="A809" s="11" t="s">
        <v>21</v>
      </c>
      <c r="B809" s="11" t="s">
        <v>2429</v>
      </c>
      <c r="C809" s="12" t="s">
        <v>2430</v>
      </c>
      <c r="D809" s="12" t="s">
        <v>2462</v>
      </c>
      <c r="E809" s="13">
        <v>1</v>
      </c>
      <c r="F809" s="111">
        <v>3214</v>
      </c>
      <c r="G809" s="13" t="s">
        <v>2463</v>
      </c>
      <c r="H809" s="14" t="s">
        <v>274</v>
      </c>
      <c r="I809" s="14" t="s">
        <v>2464</v>
      </c>
      <c r="J809" s="12" t="s">
        <v>661</v>
      </c>
      <c r="K809" s="15" t="s">
        <v>2465</v>
      </c>
      <c r="O809" s="11" t="s">
        <v>2466</v>
      </c>
    </row>
    <row r="810" spans="1:15" hidden="1" x14ac:dyDescent="0.25">
      <c r="A810" s="11" t="s">
        <v>21</v>
      </c>
      <c r="B810" s="11" t="s">
        <v>2429</v>
      </c>
      <c r="C810" s="12" t="s">
        <v>2430</v>
      </c>
      <c r="D810" s="12" t="s">
        <v>2467</v>
      </c>
      <c r="E810" s="13">
        <v>1</v>
      </c>
      <c r="F810" s="111">
        <v>3214</v>
      </c>
      <c r="G810" s="13" t="s">
        <v>2468</v>
      </c>
      <c r="H810" s="14" t="s">
        <v>274</v>
      </c>
      <c r="I810" s="14" t="s">
        <v>2469</v>
      </c>
      <c r="J810" s="12" t="s">
        <v>661</v>
      </c>
      <c r="K810" s="15" t="s">
        <v>2470</v>
      </c>
      <c r="O810" s="11" t="s">
        <v>2471</v>
      </c>
    </row>
    <row r="811" spans="1:15" hidden="1" x14ac:dyDescent="0.25">
      <c r="A811" s="11" t="s">
        <v>21</v>
      </c>
      <c r="B811" s="11" t="s">
        <v>2429</v>
      </c>
      <c r="C811" s="12" t="s">
        <v>2430</v>
      </c>
      <c r="D811" s="12" t="s">
        <v>3056</v>
      </c>
      <c r="E811" s="13">
        <v>1</v>
      </c>
      <c r="F811" s="111">
        <v>3214</v>
      </c>
      <c r="G811" s="13" t="s">
        <v>3057</v>
      </c>
      <c r="H811" s="14" t="s">
        <v>274</v>
      </c>
      <c r="I811" s="14" t="s">
        <v>3058</v>
      </c>
      <c r="J811" s="12" t="s">
        <v>661</v>
      </c>
      <c r="K811" s="15" t="s">
        <v>3059</v>
      </c>
      <c r="O811" s="11" t="s">
        <v>3060</v>
      </c>
    </row>
    <row r="812" spans="1:15" hidden="1" x14ac:dyDescent="0.25">
      <c r="A812" s="11" t="s">
        <v>21</v>
      </c>
      <c r="B812" s="11" t="s">
        <v>2429</v>
      </c>
      <c r="C812" s="12" t="s">
        <v>2430</v>
      </c>
      <c r="D812" s="12" t="s">
        <v>3107</v>
      </c>
      <c r="E812" s="13">
        <v>1</v>
      </c>
      <c r="F812" s="111">
        <v>3214</v>
      </c>
      <c r="G812" s="13" t="s">
        <v>3112</v>
      </c>
      <c r="H812" s="14" t="s">
        <v>274</v>
      </c>
      <c r="I812" s="14" t="s">
        <v>3113</v>
      </c>
      <c r="J812" s="12" t="s">
        <v>661</v>
      </c>
      <c r="K812" s="15" t="s">
        <v>3114</v>
      </c>
      <c r="O812" s="11" t="s">
        <v>3111</v>
      </c>
    </row>
    <row r="813" spans="1:15" hidden="1" x14ac:dyDescent="0.25">
      <c r="A813" s="11" t="s">
        <v>21</v>
      </c>
      <c r="B813" s="11" t="s">
        <v>2429</v>
      </c>
      <c r="C813" s="12" t="s">
        <v>2430</v>
      </c>
      <c r="D813" s="12" t="s">
        <v>3102</v>
      </c>
      <c r="E813" s="13">
        <v>2</v>
      </c>
      <c r="F813" s="111">
        <v>3214</v>
      </c>
      <c r="G813" s="13" t="s">
        <v>3103</v>
      </c>
      <c r="H813" s="14" t="s">
        <v>274</v>
      </c>
      <c r="I813" s="14" t="s">
        <v>3104</v>
      </c>
      <c r="J813" s="12" t="s">
        <v>661</v>
      </c>
      <c r="K813" s="15" t="s">
        <v>3105</v>
      </c>
      <c r="O813" s="11" t="s">
        <v>3106</v>
      </c>
    </row>
    <row r="814" spans="1:15" hidden="1" x14ac:dyDescent="0.25">
      <c r="A814" s="11" t="s">
        <v>21</v>
      </c>
      <c r="B814" s="11" t="s">
        <v>2429</v>
      </c>
      <c r="C814" s="12" t="s">
        <v>2430</v>
      </c>
      <c r="D814" s="12" t="s">
        <v>3107</v>
      </c>
      <c r="E814" s="13">
        <v>2</v>
      </c>
      <c r="F814" s="111">
        <v>3214</v>
      </c>
      <c r="G814" s="13" t="s">
        <v>3115</v>
      </c>
      <c r="H814" s="14" t="s">
        <v>274</v>
      </c>
      <c r="I814" s="14" t="s">
        <v>3116</v>
      </c>
      <c r="J814" s="12" t="s">
        <v>661</v>
      </c>
      <c r="K814" s="15" t="s">
        <v>3117</v>
      </c>
      <c r="O814" s="11" t="s">
        <v>3111</v>
      </c>
    </row>
    <row r="815" spans="1:15" hidden="1" x14ac:dyDescent="0.25">
      <c r="A815" s="11" t="s">
        <v>21</v>
      </c>
      <c r="B815" s="11" t="s">
        <v>2429</v>
      </c>
      <c r="C815" s="12" t="s">
        <v>2430</v>
      </c>
      <c r="D815" s="12" t="s">
        <v>3107</v>
      </c>
      <c r="E815" s="13">
        <v>3</v>
      </c>
      <c r="F815" s="111">
        <v>3214</v>
      </c>
      <c r="G815" s="13" t="s">
        <v>3118</v>
      </c>
      <c r="H815" s="14" t="s">
        <v>274</v>
      </c>
      <c r="I815" s="14" t="s">
        <v>3119</v>
      </c>
      <c r="J815" s="12" t="s">
        <v>661</v>
      </c>
      <c r="K815" s="15" t="s">
        <v>3120</v>
      </c>
      <c r="O815" s="11" t="s">
        <v>3111</v>
      </c>
    </row>
    <row r="816" spans="1:15" hidden="1" x14ac:dyDescent="0.25">
      <c r="A816" s="11" t="s">
        <v>21</v>
      </c>
      <c r="B816" s="11" t="s">
        <v>2429</v>
      </c>
      <c r="C816" s="12" t="s">
        <v>2430</v>
      </c>
      <c r="D816" s="12" t="s">
        <v>3107</v>
      </c>
      <c r="E816" s="13">
        <v>5</v>
      </c>
      <c r="F816" s="111">
        <v>3214</v>
      </c>
      <c r="G816" s="13" t="s">
        <v>3124</v>
      </c>
      <c r="H816" s="14" t="s">
        <v>274</v>
      </c>
      <c r="I816" s="14" t="s">
        <v>3125</v>
      </c>
      <c r="J816" s="12" t="s">
        <v>661</v>
      </c>
      <c r="K816" s="15" t="s">
        <v>3126</v>
      </c>
      <c r="O816" s="11" t="s">
        <v>3111</v>
      </c>
    </row>
    <row r="817" spans="1:15" hidden="1" x14ac:dyDescent="0.25">
      <c r="A817" s="11" t="s">
        <v>21</v>
      </c>
      <c r="B817" s="11" t="s">
        <v>2429</v>
      </c>
      <c r="C817" s="12" t="s">
        <v>2430</v>
      </c>
      <c r="D817" s="12" t="s">
        <v>3107</v>
      </c>
      <c r="E817" s="13">
        <v>6</v>
      </c>
      <c r="F817" s="111">
        <v>3214</v>
      </c>
      <c r="G817" s="13" t="s">
        <v>3121</v>
      </c>
      <c r="H817" s="14" t="s">
        <v>274</v>
      </c>
      <c r="I817" s="14" t="s">
        <v>3122</v>
      </c>
      <c r="J817" s="12" t="s">
        <v>661</v>
      </c>
      <c r="K817" s="15" t="s">
        <v>3123</v>
      </c>
      <c r="O817" s="11" t="s">
        <v>3111</v>
      </c>
    </row>
    <row r="818" spans="1:15" hidden="1" x14ac:dyDescent="0.25">
      <c r="A818" s="11" t="s">
        <v>21</v>
      </c>
      <c r="B818" s="11" t="s">
        <v>2429</v>
      </c>
      <c r="C818" s="12" t="s">
        <v>2430</v>
      </c>
      <c r="D818" s="12" t="s">
        <v>3107</v>
      </c>
      <c r="E818" s="13">
        <v>7</v>
      </c>
      <c r="F818" s="111">
        <v>3214</v>
      </c>
      <c r="G818" s="13" t="s">
        <v>3127</v>
      </c>
      <c r="H818" s="14" t="s">
        <v>274</v>
      </c>
      <c r="I818" s="14" t="s">
        <v>3128</v>
      </c>
      <c r="J818" s="12" t="s">
        <v>661</v>
      </c>
      <c r="K818" s="15" t="s">
        <v>3129</v>
      </c>
      <c r="O818" s="11" t="s">
        <v>3111</v>
      </c>
    </row>
    <row r="819" spans="1:15" hidden="1" x14ac:dyDescent="0.25">
      <c r="A819" s="11" t="s">
        <v>21</v>
      </c>
      <c r="B819" s="11" t="s">
        <v>2429</v>
      </c>
      <c r="C819" s="12" t="s">
        <v>2430</v>
      </c>
      <c r="D819" s="12" t="s">
        <v>3107</v>
      </c>
      <c r="E819" s="13">
        <v>8</v>
      </c>
      <c r="F819" s="111">
        <v>3214</v>
      </c>
      <c r="G819" s="13" t="s">
        <v>3108</v>
      </c>
      <c r="H819" s="14" t="s">
        <v>274</v>
      </c>
      <c r="I819" s="14" t="s">
        <v>3109</v>
      </c>
      <c r="J819" s="12" t="s">
        <v>661</v>
      </c>
      <c r="K819" s="15" t="s">
        <v>3110</v>
      </c>
      <c r="O819" s="11" t="s">
        <v>3111</v>
      </c>
    </row>
    <row r="820" spans="1:15" hidden="1" x14ac:dyDescent="0.25">
      <c r="A820" s="11" t="s">
        <v>21</v>
      </c>
      <c r="B820" s="11" t="s">
        <v>2429</v>
      </c>
      <c r="C820" s="12" t="s">
        <v>2430</v>
      </c>
      <c r="D820" s="12" t="s">
        <v>3107</v>
      </c>
      <c r="E820" s="13">
        <v>9</v>
      </c>
      <c r="F820" s="111">
        <v>3214</v>
      </c>
      <c r="G820" s="13" t="s">
        <v>3130</v>
      </c>
      <c r="H820" s="14" t="s">
        <v>274</v>
      </c>
      <c r="I820" s="14" t="s">
        <v>3131</v>
      </c>
      <c r="J820" s="12" t="s">
        <v>661</v>
      </c>
      <c r="K820" s="15" t="s">
        <v>3132</v>
      </c>
      <c r="O820" s="11" t="s">
        <v>3111</v>
      </c>
    </row>
    <row r="821" spans="1:15" hidden="1" x14ac:dyDescent="0.25">
      <c r="A821" s="11" t="s">
        <v>21</v>
      </c>
      <c r="B821" s="11" t="s">
        <v>2429</v>
      </c>
      <c r="C821" s="12" t="s">
        <v>2430</v>
      </c>
      <c r="D821" s="12" t="s">
        <v>2504</v>
      </c>
      <c r="E821" s="13">
        <v>1</v>
      </c>
      <c r="F821" s="111">
        <v>3215</v>
      </c>
      <c r="G821" s="13" t="s">
        <v>2546</v>
      </c>
      <c r="H821" s="14" t="s">
        <v>274</v>
      </c>
      <c r="I821" s="14" t="s">
        <v>2547</v>
      </c>
      <c r="J821" s="12" t="s">
        <v>661</v>
      </c>
      <c r="K821" s="15" t="s">
        <v>2548</v>
      </c>
      <c r="O821" s="11" t="s">
        <v>2508</v>
      </c>
    </row>
    <row r="822" spans="1:15" hidden="1" x14ac:dyDescent="0.25">
      <c r="A822" s="11" t="s">
        <v>21</v>
      </c>
      <c r="B822" s="11" t="s">
        <v>2429</v>
      </c>
      <c r="C822" s="12" t="s">
        <v>2430</v>
      </c>
      <c r="D822" s="12" t="s">
        <v>2952</v>
      </c>
      <c r="E822" s="13">
        <v>1</v>
      </c>
      <c r="F822" s="111">
        <v>3215</v>
      </c>
      <c r="G822" s="13" t="s">
        <v>2953</v>
      </c>
      <c r="H822" s="14" t="s">
        <v>274</v>
      </c>
      <c r="I822" s="14" t="s">
        <v>2954</v>
      </c>
      <c r="J822" s="12" t="s">
        <v>661</v>
      </c>
      <c r="K822" s="15" t="s">
        <v>2955</v>
      </c>
      <c r="O822" s="11" t="s">
        <v>2956</v>
      </c>
    </row>
    <row r="823" spans="1:15" hidden="1" x14ac:dyDescent="0.25">
      <c r="A823" s="11" t="s">
        <v>21</v>
      </c>
      <c r="B823" s="11" t="s">
        <v>2429</v>
      </c>
      <c r="C823" s="12" t="s">
        <v>2430</v>
      </c>
      <c r="D823" s="12" t="s">
        <v>2957</v>
      </c>
      <c r="E823" s="13">
        <v>1</v>
      </c>
      <c r="F823" s="111">
        <v>3215</v>
      </c>
      <c r="G823" s="13" t="s">
        <v>2958</v>
      </c>
      <c r="H823" s="14" t="s">
        <v>274</v>
      </c>
      <c r="I823" s="14" t="s">
        <v>2959</v>
      </c>
      <c r="J823" s="12" t="s">
        <v>661</v>
      </c>
      <c r="K823" s="15" t="s">
        <v>2960</v>
      </c>
      <c r="O823" s="11" t="s">
        <v>2961</v>
      </c>
    </row>
    <row r="824" spans="1:15" hidden="1" x14ac:dyDescent="0.25">
      <c r="A824" s="11" t="s">
        <v>21</v>
      </c>
      <c r="B824" s="11" t="s">
        <v>2429</v>
      </c>
      <c r="C824" s="12" t="s">
        <v>2430</v>
      </c>
      <c r="D824" s="12" t="s">
        <v>2504</v>
      </c>
      <c r="E824" s="13">
        <v>2</v>
      </c>
      <c r="F824" s="111">
        <v>3215</v>
      </c>
      <c r="G824" s="13" t="s">
        <v>2543</v>
      </c>
      <c r="H824" s="14" t="s">
        <v>274</v>
      </c>
      <c r="I824" s="14" t="s">
        <v>2544</v>
      </c>
      <c r="J824" s="12" t="s">
        <v>661</v>
      </c>
      <c r="K824" s="15" t="s">
        <v>2545</v>
      </c>
      <c r="O824" s="11" t="s">
        <v>2508</v>
      </c>
    </row>
    <row r="825" spans="1:15" hidden="1" x14ac:dyDescent="0.25">
      <c r="A825" s="11" t="s">
        <v>21</v>
      </c>
      <c r="B825" s="11" t="s">
        <v>2429</v>
      </c>
      <c r="C825" s="12" t="s">
        <v>2430</v>
      </c>
      <c r="D825" s="12" t="s">
        <v>2504</v>
      </c>
      <c r="E825" s="13">
        <v>3</v>
      </c>
      <c r="F825" s="111">
        <v>3215</v>
      </c>
      <c r="G825" s="13" t="s">
        <v>2535</v>
      </c>
      <c r="H825" s="14" t="s">
        <v>274</v>
      </c>
      <c r="I825" s="14" t="s">
        <v>2536</v>
      </c>
      <c r="J825" s="12" t="s">
        <v>661</v>
      </c>
      <c r="K825" s="15" t="s">
        <v>2537</v>
      </c>
      <c r="O825" s="11" t="s">
        <v>2508</v>
      </c>
    </row>
    <row r="826" spans="1:15" hidden="1" x14ac:dyDescent="0.25">
      <c r="A826" s="11" t="s">
        <v>21</v>
      </c>
      <c r="B826" s="11" t="s">
        <v>2429</v>
      </c>
      <c r="C826" s="12" t="s">
        <v>2430</v>
      </c>
      <c r="D826" s="12" t="s">
        <v>2504</v>
      </c>
      <c r="E826" s="13">
        <v>4</v>
      </c>
      <c r="F826" s="111">
        <v>3215</v>
      </c>
      <c r="G826" s="13" t="s">
        <v>2532</v>
      </c>
      <c r="H826" s="14" t="s">
        <v>274</v>
      </c>
      <c r="I826" s="14" t="s">
        <v>2533</v>
      </c>
      <c r="J826" s="12" t="s">
        <v>661</v>
      </c>
      <c r="K826" s="15" t="s">
        <v>2534</v>
      </c>
      <c r="O826" s="11" t="s">
        <v>2508</v>
      </c>
    </row>
    <row r="827" spans="1:15" hidden="1" x14ac:dyDescent="0.25">
      <c r="A827" s="11" t="s">
        <v>21</v>
      </c>
      <c r="B827" s="11" t="s">
        <v>2429</v>
      </c>
      <c r="C827" s="12" t="s">
        <v>2430</v>
      </c>
      <c r="D827" s="12" t="s">
        <v>2504</v>
      </c>
      <c r="E827" s="13">
        <v>5</v>
      </c>
      <c r="F827" s="111">
        <v>3215</v>
      </c>
      <c r="G827" s="13" t="s">
        <v>2524</v>
      </c>
      <c r="H827" s="14" t="s">
        <v>274</v>
      </c>
      <c r="I827" s="14" t="s">
        <v>2525</v>
      </c>
      <c r="J827" s="12" t="s">
        <v>661</v>
      </c>
      <c r="K827" s="15" t="s">
        <v>2526</v>
      </c>
      <c r="O827" s="11" t="s">
        <v>2508</v>
      </c>
    </row>
    <row r="828" spans="1:15" hidden="1" x14ac:dyDescent="0.25">
      <c r="A828" s="11" t="s">
        <v>21</v>
      </c>
      <c r="B828" s="11" t="s">
        <v>2429</v>
      </c>
      <c r="C828" s="12" t="s">
        <v>2430</v>
      </c>
      <c r="D828" s="12" t="s">
        <v>2504</v>
      </c>
      <c r="E828" s="13">
        <v>6</v>
      </c>
      <c r="F828" s="111">
        <v>3215</v>
      </c>
      <c r="G828" s="13" t="s">
        <v>2517</v>
      </c>
      <c r="H828" s="14" t="s">
        <v>274</v>
      </c>
      <c r="I828" s="14" t="s">
        <v>2518</v>
      </c>
      <c r="J828" s="12" t="s">
        <v>661</v>
      </c>
      <c r="K828" s="15" t="s">
        <v>2519</v>
      </c>
      <c r="O828" s="11" t="s">
        <v>2508</v>
      </c>
    </row>
    <row r="829" spans="1:15" hidden="1" x14ac:dyDescent="0.25">
      <c r="A829" s="11" t="s">
        <v>21</v>
      </c>
      <c r="B829" s="11" t="s">
        <v>2429</v>
      </c>
      <c r="C829" s="12" t="s">
        <v>2430</v>
      </c>
      <c r="D829" s="12" t="s">
        <v>2504</v>
      </c>
      <c r="E829" s="13">
        <v>7</v>
      </c>
      <c r="F829" s="111">
        <v>3215</v>
      </c>
      <c r="G829" s="13" t="s">
        <v>2509</v>
      </c>
      <c r="H829" s="14" t="s">
        <v>274</v>
      </c>
      <c r="I829" s="14" t="s">
        <v>2510</v>
      </c>
      <c r="J829" s="12" t="s">
        <v>661</v>
      </c>
      <c r="K829" s="15" t="s">
        <v>2511</v>
      </c>
      <c r="O829" s="11" t="s">
        <v>2508</v>
      </c>
    </row>
    <row r="830" spans="1:15" hidden="1" x14ac:dyDescent="0.25">
      <c r="A830" s="11" t="s">
        <v>21</v>
      </c>
      <c r="B830" s="11" t="s">
        <v>2429</v>
      </c>
      <c r="C830" s="12" t="s">
        <v>2430</v>
      </c>
      <c r="D830" s="12" t="s">
        <v>2504</v>
      </c>
      <c r="E830" s="13">
        <v>8</v>
      </c>
      <c r="F830" s="111">
        <v>3215</v>
      </c>
      <c r="G830" s="13" t="s">
        <v>2505</v>
      </c>
      <c r="H830" s="14" t="s">
        <v>274</v>
      </c>
      <c r="I830" s="14" t="s">
        <v>2506</v>
      </c>
      <c r="J830" s="12" t="s">
        <v>661</v>
      </c>
      <c r="K830" s="15" t="s">
        <v>2507</v>
      </c>
      <c r="O830" s="11" t="s">
        <v>2508</v>
      </c>
    </row>
    <row r="831" spans="1:15" hidden="1" x14ac:dyDescent="0.25">
      <c r="A831" s="11" t="s">
        <v>21</v>
      </c>
      <c r="B831" s="11" t="s">
        <v>2429</v>
      </c>
      <c r="C831" s="12" t="s">
        <v>2430</v>
      </c>
      <c r="D831" s="12" t="s">
        <v>2504</v>
      </c>
      <c r="E831" s="13">
        <v>9</v>
      </c>
      <c r="F831" s="111">
        <v>3215</v>
      </c>
      <c r="G831" s="13" t="s">
        <v>2616</v>
      </c>
      <c r="H831" s="14" t="s">
        <v>274</v>
      </c>
      <c r="I831" s="14" t="s">
        <v>2617</v>
      </c>
      <c r="J831" s="12" t="s">
        <v>661</v>
      </c>
      <c r="K831" s="15" t="s">
        <v>2618</v>
      </c>
      <c r="O831" s="11" t="s">
        <v>2508</v>
      </c>
    </row>
    <row r="832" spans="1:15" hidden="1" x14ac:dyDescent="0.25">
      <c r="A832" s="11" t="s">
        <v>21</v>
      </c>
      <c r="B832" s="11" t="s">
        <v>2429</v>
      </c>
      <c r="C832" s="12" t="s">
        <v>2430</v>
      </c>
      <c r="D832" s="12" t="s">
        <v>2567</v>
      </c>
      <c r="E832" s="13">
        <v>1</v>
      </c>
      <c r="F832" s="111">
        <v>3216</v>
      </c>
      <c r="G832" s="13" t="s">
        <v>2568</v>
      </c>
      <c r="H832" s="14" t="s">
        <v>274</v>
      </c>
      <c r="I832" s="14" t="s">
        <v>2569</v>
      </c>
      <c r="J832" s="12" t="s">
        <v>661</v>
      </c>
      <c r="K832" s="15" t="s">
        <v>2570</v>
      </c>
      <c r="O832" s="11" t="s">
        <v>2571</v>
      </c>
    </row>
    <row r="833" spans="1:15" hidden="1" x14ac:dyDescent="0.25">
      <c r="A833" s="11" t="s">
        <v>21</v>
      </c>
      <c r="B833" s="11" t="s">
        <v>2429</v>
      </c>
      <c r="C833" s="12" t="s">
        <v>2430</v>
      </c>
      <c r="D833" s="12" t="s">
        <v>2575</v>
      </c>
      <c r="E833" s="13">
        <v>1</v>
      </c>
      <c r="F833" s="111">
        <v>3216</v>
      </c>
      <c r="G833" s="13" t="s">
        <v>2576</v>
      </c>
      <c r="H833" s="14" t="s">
        <v>274</v>
      </c>
      <c r="I833" s="14" t="s">
        <v>2577</v>
      </c>
      <c r="J833" s="12" t="s">
        <v>661</v>
      </c>
      <c r="K833" s="15" t="s">
        <v>2578</v>
      </c>
      <c r="O833" s="11" t="s">
        <v>2579</v>
      </c>
    </row>
    <row r="834" spans="1:15" hidden="1" x14ac:dyDescent="0.25">
      <c r="A834" s="11" t="s">
        <v>21</v>
      </c>
      <c r="B834" s="11" t="s">
        <v>2429</v>
      </c>
      <c r="C834" s="12" t="s">
        <v>2430</v>
      </c>
      <c r="D834" s="12" t="s">
        <v>2585</v>
      </c>
      <c r="E834" s="13">
        <v>1</v>
      </c>
      <c r="F834" s="111">
        <v>3216</v>
      </c>
      <c r="G834" s="13" t="s">
        <v>2586</v>
      </c>
      <c r="H834" s="14" t="s">
        <v>274</v>
      </c>
      <c r="I834" s="14" t="s">
        <v>2587</v>
      </c>
      <c r="J834" s="12" t="s">
        <v>661</v>
      </c>
      <c r="K834" s="15" t="s">
        <v>2588</v>
      </c>
      <c r="O834" s="11" t="s">
        <v>2589</v>
      </c>
    </row>
    <row r="835" spans="1:15" hidden="1" x14ac:dyDescent="0.25">
      <c r="A835" s="11" t="s">
        <v>21</v>
      </c>
      <c r="B835" s="11" t="s">
        <v>2429</v>
      </c>
      <c r="C835" s="12" t="s">
        <v>2430</v>
      </c>
      <c r="D835" s="12" t="s">
        <v>2593</v>
      </c>
      <c r="E835" s="13">
        <v>1</v>
      </c>
      <c r="F835" s="111">
        <v>3216</v>
      </c>
      <c r="G835" s="13" t="s">
        <v>2594</v>
      </c>
      <c r="H835" s="14" t="s">
        <v>274</v>
      </c>
      <c r="I835" s="14" t="s">
        <v>2595</v>
      </c>
      <c r="J835" s="12" t="s">
        <v>661</v>
      </c>
      <c r="K835" s="15" t="s">
        <v>2596</v>
      </c>
      <c r="O835" s="11" t="s">
        <v>2597</v>
      </c>
    </row>
    <row r="836" spans="1:15" hidden="1" x14ac:dyDescent="0.25">
      <c r="A836" s="11" t="s">
        <v>21</v>
      </c>
      <c r="B836" s="11" t="s">
        <v>2429</v>
      </c>
      <c r="C836" s="12" t="s">
        <v>2430</v>
      </c>
      <c r="D836" s="12" t="s">
        <v>2603</v>
      </c>
      <c r="E836" s="13">
        <v>1</v>
      </c>
      <c r="F836" s="111">
        <v>3216</v>
      </c>
      <c r="G836" s="13" t="s">
        <v>2604</v>
      </c>
      <c r="H836" s="14" t="s">
        <v>274</v>
      </c>
      <c r="I836" s="14" t="s">
        <v>2605</v>
      </c>
      <c r="J836" s="12" t="s">
        <v>661</v>
      </c>
      <c r="K836" s="15" t="s">
        <v>2606</v>
      </c>
      <c r="O836" s="11" t="s">
        <v>2607</v>
      </c>
    </row>
    <row r="837" spans="1:15" hidden="1" x14ac:dyDescent="0.25">
      <c r="A837" s="11" t="s">
        <v>21</v>
      </c>
      <c r="B837" s="11" t="s">
        <v>2429</v>
      </c>
      <c r="C837" s="12" t="s">
        <v>2430</v>
      </c>
      <c r="D837" s="12" t="s">
        <v>3097</v>
      </c>
      <c r="E837" s="13">
        <v>2</v>
      </c>
      <c r="F837" s="111">
        <v>3217</v>
      </c>
      <c r="G837" s="13" t="s">
        <v>3098</v>
      </c>
      <c r="H837" s="14" t="s">
        <v>274</v>
      </c>
      <c r="I837" s="14" t="s">
        <v>3099</v>
      </c>
      <c r="J837" s="12" t="s">
        <v>661</v>
      </c>
      <c r="K837" s="15" t="s">
        <v>3100</v>
      </c>
      <c r="O837" s="11" t="s">
        <v>3101</v>
      </c>
    </row>
    <row r="838" spans="1:15" hidden="1" x14ac:dyDescent="0.25">
      <c r="A838" s="11" t="s">
        <v>21</v>
      </c>
      <c r="B838" s="11" t="s">
        <v>2429</v>
      </c>
      <c r="C838" s="12" t="s">
        <v>2430</v>
      </c>
      <c r="D838" s="12" t="s">
        <v>2923</v>
      </c>
      <c r="E838" s="13">
        <v>1</v>
      </c>
      <c r="F838" s="111">
        <v>3218</v>
      </c>
      <c r="G838" s="13" t="s">
        <v>2924</v>
      </c>
      <c r="H838" s="14" t="s">
        <v>274</v>
      </c>
      <c r="I838" s="14" t="s">
        <v>2925</v>
      </c>
      <c r="J838" s="12" t="s">
        <v>661</v>
      </c>
      <c r="K838" s="15" t="s">
        <v>2926</v>
      </c>
      <c r="O838" s="11" t="s">
        <v>2927</v>
      </c>
    </row>
    <row r="839" spans="1:15" hidden="1" x14ac:dyDescent="0.25">
      <c r="A839" s="11" t="s">
        <v>21</v>
      </c>
      <c r="B839" s="11" t="s">
        <v>2429</v>
      </c>
      <c r="C839" s="12" t="s">
        <v>2430</v>
      </c>
      <c r="D839" s="12" t="s">
        <v>2928</v>
      </c>
      <c r="E839" s="13">
        <v>1</v>
      </c>
      <c r="F839" s="111">
        <v>3218</v>
      </c>
      <c r="G839" s="13" t="s">
        <v>2929</v>
      </c>
      <c r="H839" s="14" t="s">
        <v>274</v>
      </c>
      <c r="I839" s="14" t="s">
        <v>2930</v>
      </c>
      <c r="J839" s="12" t="s">
        <v>661</v>
      </c>
      <c r="K839" s="15" t="s">
        <v>2931</v>
      </c>
      <c r="O839" s="11" t="s">
        <v>2932</v>
      </c>
    </row>
    <row r="840" spans="1:15" hidden="1" x14ac:dyDescent="0.25">
      <c r="A840" s="11" t="s">
        <v>21</v>
      </c>
      <c r="B840" s="11" t="s">
        <v>2429</v>
      </c>
      <c r="C840" s="12" t="s">
        <v>2430</v>
      </c>
      <c r="D840" s="12" t="s">
        <v>2933</v>
      </c>
      <c r="E840" s="13">
        <v>1</v>
      </c>
      <c r="F840" s="111">
        <v>3218</v>
      </c>
      <c r="G840" s="13" t="s">
        <v>2934</v>
      </c>
      <c r="H840" s="14" t="s">
        <v>274</v>
      </c>
      <c r="I840" s="14" t="s">
        <v>2935</v>
      </c>
      <c r="J840" s="12" t="s">
        <v>661</v>
      </c>
      <c r="K840" s="15" t="s">
        <v>2936</v>
      </c>
      <c r="O840" s="11" t="s">
        <v>2937</v>
      </c>
    </row>
    <row r="841" spans="1:15" hidden="1" x14ac:dyDescent="0.25">
      <c r="A841" s="11" t="s">
        <v>23</v>
      </c>
      <c r="B841" s="11" t="s">
        <v>2429</v>
      </c>
      <c r="C841" s="12" t="s">
        <v>2430</v>
      </c>
      <c r="D841" s="12" t="s">
        <v>2431</v>
      </c>
      <c r="E841" s="13">
        <v>1</v>
      </c>
      <c r="F841" s="111">
        <v>3219</v>
      </c>
      <c r="G841" s="13" t="s">
        <v>2432</v>
      </c>
      <c r="H841" s="14" t="s">
        <v>274</v>
      </c>
      <c r="I841" s="14" t="s">
        <v>2433</v>
      </c>
      <c r="J841" s="12" t="s">
        <v>661</v>
      </c>
      <c r="K841" s="15" t="s">
        <v>2434</v>
      </c>
      <c r="O841" s="11" t="s">
        <v>2435</v>
      </c>
    </row>
    <row r="842" spans="1:15" hidden="1" x14ac:dyDescent="0.25">
      <c r="A842" s="11" t="s">
        <v>134</v>
      </c>
      <c r="D842" s="12" t="s">
        <v>173</v>
      </c>
      <c r="G842" s="13" t="s">
        <v>174</v>
      </c>
      <c r="H842" s="14" t="s">
        <v>175</v>
      </c>
      <c r="I842" s="14" t="s">
        <v>176</v>
      </c>
      <c r="K842" s="15" t="s">
        <v>177</v>
      </c>
      <c r="O842" s="11" t="s">
        <v>3263</v>
      </c>
    </row>
    <row r="843" spans="1:15" hidden="1" x14ac:dyDescent="0.25">
      <c r="A843" s="11" t="s">
        <v>134</v>
      </c>
      <c r="D843" s="12" t="s">
        <v>168</v>
      </c>
      <c r="G843" s="13" t="s">
        <v>169</v>
      </c>
      <c r="H843" s="14" t="s">
        <v>168</v>
      </c>
      <c r="I843" s="14" t="s">
        <v>170</v>
      </c>
      <c r="K843" s="15" t="s">
        <v>171</v>
      </c>
      <c r="O843" s="11" t="s">
        <v>3263</v>
      </c>
    </row>
    <row r="844" spans="1:15" hidden="1" x14ac:dyDescent="0.25">
      <c r="A844" s="11" t="s">
        <v>134</v>
      </c>
      <c r="D844" s="12" t="s">
        <v>173</v>
      </c>
      <c r="G844" s="13" t="s">
        <v>174</v>
      </c>
      <c r="H844" s="14" t="s">
        <v>175</v>
      </c>
      <c r="I844" s="14" t="s">
        <v>176</v>
      </c>
      <c r="K844" s="15" t="s">
        <v>177</v>
      </c>
      <c r="O844" s="11" t="s">
        <v>3263</v>
      </c>
    </row>
    <row r="845" spans="1:15" hidden="1" x14ac:dyDescent="0.25">
      <c r="A845" s="11" t="s">
        <v>21</v>
      </c>
      <c r="B845" s="11" t="s">
        <v>2429</v>
      </c>
      <c r="C845" s="12" t="s">
        <v>2441</v>
      </c>
      <c r="D845" s="12" t="s">
        <v>2938</v>
      </c>
      <c r="E845" s="13">
        <v>1</v>
      </c>
      <c r="F845" s="111">
        <v>3311</v>
      </c>
      <c r="G845" s="13" t="s">
        <v>2946</v>
      </c>
      <c r="H845" s="14" t="s">
        <v>274</v>
      </c>
      <c r="I845" s="14" t="s">
        <v>2947</v>
      </c>
      <c r="J845" s="12" t="s">
        <v>661</v>
      </c>
      <c r="K845" s="15" t="s">
        <v>2948</v>
      </c>
      <c r="O845" s="11" t="s">
        <v>2942</v>
      </c>
    </row>
    <row r="846" spans="1:15" hidden="1" x14ac:dyDescent="0.25">
      <c r="A846" s="11" t="s">
        <v>21</v>
      </c>
      <c r="B846" s="11" t="s">
        <v>2429</v>
      </c>
      <c r="C846" s="12" t="s">
        <v>2441</v>
      </c>
      <c r="D846" s="12" t="s">
        <v>2938</v>
      </c>
      <c r="E846" s="13">
        <v>2</v>
      </c>
      <c r="F846" s="111">
        <v>3311</v>
      </c>
      <c r="G846" s="13" t="s">
        <v>2949</v>
      </c>
      <c r="H846" s="14" t="s">
        <v>274</v>
      </c>
      <c r="I846" s="14" t="s">
        <v>2950</v>
      </c>
      <c r="J846" s="12" t="s">
        <v>661</v>
      </c>
      <c r="K846" s="15" t="s">
        <v>2951</v>
      </c>
      <c r="O846" s="11" t="s">
        <v>2942</v>
      </c>
    </row>
    <row r="847" spans="1:15" hidden="1" x14ac:dyDescent="0.25">
      <c r="A847" s="11" t="s">
        <v>21</v>
      </c>
      <c r="B847" s="11" t="s">
        <v>2429</v>
      </c>
      <c r="C847" s="12" t="s">
        <v>2441</v>
      </c>
      <c r="D847" s="12" t="s">
        <v>2938</v>
      </c>
      <c r="E847" s="13">
        <v>3</v>
      </c>
      <c r="F847" s="111">
        <v>3311</v>
      </c>
      <c r="G847" s="13" t="s">
        <v>2943</v>
      </c>
      <c r="H847" s="14" t="s">
        <v>274</v>
      </c>
      <c r="I847" s="14" t="s">
        <v>2944</v>
      </c>
      <c r="J847" s="12" t="s">
        <v>661</v>
      </c>
      <c r="K847" s="15" t="s">
        <v>2945</v>
      </c>
      <c r="O847" s="11" t="s">
        <v>2942</v>
      </c>
    </row>
    <row r="848" spans="1:15" hidden="1" x14ac:dyDescent="0.25">
      <c r="A848" s="11" t="s">
        <v>21</v>
      </c>
      <c r="B848" s="11" t="s">
        <v>2429</v>
      </c>
      <c r="C848" s="12" t="s">
        <v>2441</v>
      </c>
      <c r="D848" s="12" t="s">
        <v>2938</v>
      </c>
      <c r="E848" s="13">
        <v>4</v>
      </c>
      <c r="F848" s="111">
        <v>3311</v>
      </c>
      <c r="G848" s="13" t="s">
        <v>2939</v>
      </c>
      <c r="H848" s="14" t="s">
        <v>274</v>
      </c>
      <c r="I848" s="14" t="s">
        <v>2940</v>
      </c>
      <c r="J848" s="12" t="s">
        <v>661</v>
      </c>
      <c r="K848" s="15" t="s">
        <v>2941</v>
      </c>
      <c r="O848" s="11" t="s">
        <v>2942</v>
      </c>
    </row>
    <row r="849" spans="1:15" hidden="1" x14ac:dyDescent="0.25">
      <c r="A849" s="11" t="s">
        <v>21</v>
      </c>
      <c r="B849" s="11" t="s">
        <v>2429</v>
      </c>
      <c r="C849" s="12" t="s">
        <v>2441</v>
      </c>
      <c r="D849" s="12" t="s">
        <v>983</v>
      </c>
      <c r="E849" s="13">
        <v>1</v>
      </c>
      <c r="F849" s="111">
        <v>3312</v>
      </c>
      <c r="G849" s="13" t="s">
        <v>2472</v>
      </c>
      <c r="H849" s="14" t="s">
        <v>274</v>
      </c>
      <c r="I849" s="14" t="s">
        <v>2473</v>
      </c>
      <c r="J849" s="12" t="s">
        <v>661</v>
      </c>
      <c r="K849" s="15" t="s">
        <v>2474</v>
      </c>
      <c r="O849" s="11" t="s">
        <v>2475</v>
      </c>
    </row>
    <row r="850" spans="1:15" hidden="1" x14ac:dyDescent="0.25">
      <c r="A850" s="11" t="s">
        <v>21</v>
      </c>
      <c r="B850" s="11" t="s">
        <v>2429</v>
      </c>
      <c r="C850" s="12" t="s">
        <v>2441</v>
      </c>
      <c r="D850" s="12" t="s">
        <v>2481</v>
      </c>
      <c r="E850" s="13">
        <v>1</v>
      </c>
      <c r="F850" s="111">
        <v>3312</v>
      </c>
      <c r="G850" s="13" t="s">
        <v>2482</v>
      </c>
      <c r="H850" s="14" t="s">
        <v>274</v>
      </c>
      <c r="I850" s="14" t="s">
        <v>2483</v>
      </c>
      <c r="J850" s="12" t="s">
        <v>661</v>
      </c>
      <c r="K850" s="15" t="s">
        <v>2484</v>
      </c>
      <c r="O850" s="11" t="s">
        <v>2485</v>
      </c>
    </row>
    <row r="851" spans="1:15" hidden="1" x14ac:dyDescent="0.25">
      <c r="A851" s="11" t="s">
        <v>21</v>
      </c>
      <c r="B851" s="11" t="s">
        <v>2429</v>
      </c>
      <c r="C851" s="12" t="s">
        <v>2441</v>
      </c>
      <c r="D851" s="12" t="s">
        <v>2491</v>
      </c>
      <c r="E851" s="13">
        <v>1</v>
      </c>
      <c r="F851" s="111">
        <v>3312</v>
      </c>
      <c r="G851" s="13" t="s">
        <v>2492</v>
      </c>
      <c r="H851" s="14" t="s">
        <v>274</v>
      </c>
      <c r="I851" s="14" t="s">
        <v>2493</v>
      </c>
      <c r="J851" s="12" t="s">
        <v>661</v>
      </c>
      <c r="K851" s="15" t="s">
        <v>2494</v>
      </c>
      <c r="O851" s="11" t="s">
        <v>2495</v>
      </c>
    </row>
    <row r="852" spans="1:15" hidden="1" x14ac:dyDescent="0.25">
      <c r="A852" s="11" t="s">
        <v>21</v>
      </c>
      <c r="B852" s="11" t="s">
        <v>2429</v>
      </c>
      <c r="C852" s="12" t="s">
        <v>2441</v>
      </c>
      <c r="D852" s="12" t="s">
        <v>2496</v>
      </c>
      <c r="E852" s="13">
        <v>1</v>
      </c>
      <c r="F852" s="111">
        <v>3312</v>
      </c>
      <c r="G852" s="13" t="s">
        <v>2501</v>
      </c>
      <c r="H852" s="14" t="s">
        <v>274</v>
      </c>
      <c r="I852" s="14" t="s">
        <v>2502</v>
      </c>
      <c r="J852" s="12" t="s">
        <v>661</v>
      </c>
      <c r="K852" s="15" t="s">
        <v>2503</v>
      </c>
      <c r="O852" s="11" t="s">
        <v>2500</v>
      </c>
    </row>
    <row r="853" spans="1:15" hidden="1" x14ac:dyDescent="0.25">
      <c r="A853" s="11" t="s">
        <v>21</v>
      </c>
      <c r="B853" s="11" t="s">
        <v>2429</v>
      </c>
      <c r="C853" s="12" t="s">
        <v>2441</v>
      </c>
      <c r="D853" s="12" t="s">
        <v>2619</v>
      </c>
      <c r="E853" s="13">
        <v>1</v>
      </c>
      <c r="F853" s="111">
        <v>3312</v>
      </c>
      <c r="G853" s="13" t="s">
        <v>2620</v>
      </c>
      <c r="H853" s="14" t="s">
        <v>274</v>
      </c>
      <c r="I853" s="14" t="s">
        <v>2621</v>
      </c>
      <c r="J853" s="12" t="s">
        <v>661</v>
      </c>
      <c r="K853" s="15" t="s">
        <v>2622</v>
      </c>
      <c r="O853" s="11" t="s">
        <v>2623</v>
      </c>
    </row>
    <row r="854" spans="1:15" hidden="1" x14ac:dyDescent="0.25">
      <c r="A854" s="11" t="s">
        <v>21</v>
      </c>
      <c r="B854" s="11" t="s">
        <v>2429</v>
      </c>
      <c r="C854" s="12" t="s">
        <v>2441</v>
      </c>
      <c r="D854" s="12" t="s">
        <v>2624</v>
      </c>
      <c r="E854" s="13">
        <v>1</v>
      </c>
      <c r="F854" s="111">
        <v>3312</v>
      </c>
      <c r="G854" s="13" t="s">
        <v>2625</v>
      </c>
      <c r="H854" s="14" t="s">
        <v>274</v>
      </c>
      <c r="I854" s="14" t="s">
        <v>2626</v>
      </c>
      <c r="J854" s="12" t="s">
        <v>661</v>
      </c>
      <c r="K854" s="15" t="s">
        <v>2627</v>
      </c>
      <c r="O854" s="11" t="s">
        <v>2628</v>
      </c>
    </row>
    <row r="855" spans="1:15" hidden="1" x14ac:dyDescent="0.25">
      <c r="A855" s="11" t="s">
        <v>21</v>
      </c>
      <c r="B855" s="11" t="s">
        <v>2429</v>
      </c>
      <c r="C855" s="12" t="s">
        <v>2441</v>
      </c>
      <c r="D855" s="12" t="s">
        <v>3067</v>
      </c>
      <c r="E855" s="13">
        <v>1</v>
      </c>
      <c r="F855" s="111">
        <v>3312</v>
      </c>
      <c r="G855" s="13" t="s">
        <v>3068</v>
      </c>
      <c r="H855" s="14" t="s">
        <v>274</v>
      </c>
      <c r="I855" s="14" t="s">
        <v>3069</v>
      </c>
      <c r="J855" s="12" t="s">
        <v>661</v>
      </c>
      <c r="K855" s="15" t="s">
        <v>3070</v>
      </c>
      <c r="O855" s="11" t="s">
        <v>3071</v>
      </c>
    </row>
    <row r="856" spans="1:15" hidden="1" x14ac:dyDescent="0.25">
      <c r="A856" s="11" t="s">
        <v>21</v>
      </c>
      <c r="B856" s="11" t="s">
        <v>2429</v>
      </c>
      <c r="C856" s="12" t="s">
        <v>2441</v>
      </c>
      <c r="D856" s="12" t="s">
        <v>3072</v>
      </c>
      <c r="E856" s="13">
        <v>1</v>
      </c>
      <c r="F856" s="111">
        <v>3312</v>
      </c>
      <c r="G856" s="13" t="s">
        <v>3073</v>
      </c>
      <c r="H856" s="14" t="s">
        <v>274</v>
      </c>
      <c r="I856" s="14" t="s">
        <v>3074</v>
      </c>
      <c r="J856" s="12" t="s">
        <v>661</v>
      </c>
      <c r="K856" s="15" t="s">
        <v>3075</v>
      </c>
      <c r="O856" s="11" t="s">
        <v>3076</v>
      </c>
    </row>
    <row r="857" spans="1:15" hidden="1" x14ac:dyDescent="0.25">
      <c r="A857" s="11" t="s">
        <v>21</v>
      </c>
      <c r="B857" s="11" t="s">
        <v>2429</v>
      </c>
      <c r="C857" s="12" t="s">
        <v>2441</v>
      </c>
      <c r="D857" s="12" t="s">
        <v>3081</v>
      </c>
      <c r="E857" s="13">
        <v>1</v>
      </c>
      <c r="F857" s="111">
        <v>3312</v>
      </c>
      <c r="G857" s="13" t="s">
        <v>3082</v>
      </c>
      <c r="H857" s="14" t="s">
        <v>274</v>
      </c>
      <c r="I857" s="14" t="s">
        <v>3083</v>
      </c>
      <c r="J857" s="12" t="s">
        <v>661</v>
      </c>
      <c r="K857" s="15" t="s">
        <v>3084</v>
      </c>
      <c r="O857" s="11" t="s">
        <v>3085</v>
      </c>
    </row>
    <row r="858" spans="1:15" hidden="1" x14ac:dyDescent="0.25">
      <c r="A858" s="11" t="s">
        <v>21</v>
      </c>
      <c r="B858" s="11" t="s">
        <v>2429</v>
      </c>
      <c r="C858" s="12" t="s">
        <v>2441</v>
      </c>
      <c r="D858" s="12" t="s">
        <v>632</v>
      </c>
      <c r="E858" s="13">
        <v>1</v>
      </c>
      <c r="F858" s="111">
        <v>3312</v>
      </c>
      <c r="G858" s="13" t="s">
        <v>3092</v>
      </c>
      <c r="H858" s="14" t="s">
        <v>274</v>
      </c>
      <c r="I858" s="14" t="s">
        <v>3093</v>
      </c>
      <c r="J858" s="12" t="s">
        <v>661</v>
      </c>
      <c r="K858" s="15" t="s">
        <v>3094</v>
      </c>
      <c r="O858" s="11" t="s">
        <v>3066</v>
      </c>
    </row>
    <row r="859" spans="1:15" hidden="1" x14ac:dyDescent="0.25">
      <c r="A859" s="11" t="s">
        <v>21</v>
      </c>
      <c r="B859" s="11" t="s">
        <v>2429</v>
      </c>
      <c r="C859" s="12" t="s">
        <v>2441</v>
      </c>
      <c r="D859" s="12" t="s">
        <v>2496</v>
      </c>
      <c r="E859" s="13">
        <v>2</v>
      </c>
      <c r="F859" s="111">
        <v>3312</v>
      </c>
      <c r="G859" s="13" t="s">
        <v>2497</v>
      </c>
      <c r="H859" s="14" t="s">
        <v>274</v>
      </c>
      <c r="I859" s="14" t="s">
        <v>2498</v>
      </c>
      <c r="J859" s="12" t="s">
        <v>661</v>
      </c>
      <c r="K859" s="15" t="s">
        <v>2499</v>
      </c>
      <c r="O859" s="11" t="s">
        <v>2500</v>
      </c>
    </row>
    <row r="860" spans="1:15" hidden="1" x14ac:dyDescent="0.25">
      <c r="A860" s="11" t="s">
        <v>21</v>
      </c>
      <c r="B860" s="11" t="s">
        <v>2429</v>
      </c>
      <c r="C860" s="12" t="s">
        <v>2441</v>
      </c>
      <c r="D860" s="12" t="s">
        <v>632</v>
      </c>
      <c r="E860" s="13">
        <v>2</v>
      </c>
      <c r="F860" s="111">
        <v>3312</v>
      </c>
      <c r="G860" s="13" t="s">
        <v>3086</v>
      </c>
      <c r="H860" s="14" t="s">
        <v>274</v>
      </c>
      <c r="I860" s="14" t="s">
        <v>3087</v>
      </c>
      <c r="J860" s="12" t="s">
        <v>661</v>
      </c>
      <c r="K860" s="15" t="s">
        <v>3088</v>
      </c>
      <c r="O860" s="11" t="s">
        <v>3066</v>
      </c>
    </row>
    <row r="861" spans="1:15" hidden="1" x14ac:dyDescent="0.25">
      <c r="A861" s="11" t="s">
        <v>21</v>
      </c>
      <c r="B861" s="11" t="s">
        <v>2429</v>
      </c>
      <c r="C861" s="12" t="s">
        <v>2441</v>
      </c>
      <c r="D861" s="12" t="s">
        <v>632</v>
      </c>
      <c r="E861" s="13">
        <v>3</v>
      </c>
      <c r="F861" s="111">
        <v>3312</v>
      </c>
      <c r="G861" s="13" t="s">
        <v>3089</v>
      </c>
      <c r="H861" s="14" t="s">
        <v>274</v>
      </c>
      <c r="I861" s="14" t="s">
        <v>3090</v>
      </c>
      <c r="J861" s="12" t="s">
        <v>661</v>
      </c>
      <c r="K861" s="15" t="s">
        <v>3091</v>
      </c>
      <c r="O861" s="11" t="s">
        <v>3066</v>
      </c>
    </row>
    <row r="862" spans="1:15" hidden="1" x14ac:dyDescent="0.25">
      <c r="A862" s="11" t="s">
        <v>21</v>
      </c>
      <c r="B862" s="11" t="s">
        <v>2429</v>
      </c>
      <c r="C862" s="12" t="s">
        <v>2441</v>
      </c>
      <c r="D862" s="12" t="s">
        <v>632</v>
      </c>
      <c r="E862" s="13">
        <v>4</v>
      </c>
      <c r="F862" s="111">
        <v>3312</v>
      </c>
      <c r="G862" s="13" t="s">
        <v>3063</v>
      </c>
      <c r="H862" s="14" t="s">
        <v>274</v>
      </c>
      <c r="I862" s="14" t="s">
        <v>3064</v>
      </c>
      <c r="J862" s="12" t="s">
        <v>661</v>
      </c>
      <c r="K862" s="15" t="s">
        <v>3065</v>
      </c>
      <c r="O862" s="11" t="s">
        <v>3066</v>
      </c>
    </row>
    <row r="863" spans="1:15" hidden="1" x14ac:dyDescent="0.25">
      <c r="A863" s="11" t="s">
        <v>21</v>
      </c>
      <c r="B863" s="11" t="s">
        <v>2429</v>
      </c>
      <c r="C863" s="12" t="s">
        <v>2441</v>
      </c>
      <c r="D863" s="12" t="s">
        <v>2639</v>
      </c>
      <c r="E863" s="13">
        <v>1</v>
      </c>
      <c r="F863" s="111">
        <v>3313</v>
      </c>
      <c r="G863" s="13" t="s">
        <v>2640</v>
      </c>
      <c r="H863" s="14" t="s">
        <v>274</v>
      </c>
      <c r="I863" s="14" t="s">
        <v>2641</v>
      </c>
      <c r="J863" s="12" t="s">
        <v>661</v>
      </c>
      <c r="K863" s="15" t="s">
        <v>2642</v>
      </c>
      <c r="O863" s="11" t="s">
        <v>2643</v>
      </c>
    </row>
    <row r="864" spans="1:15" hidden="1" x14ac:dyDescent="0.25">
      <c r="A864" s="11" t="s">
        <v>21</v>
      </c>
      <c r="B864" s="11" t="s">
        <v>2429</v>
      </c>
      <c r="C864" s="12" t="s">
        <v>2441</v>
      </c>
      <c r="D864" s="12" t="s">
        <v>2644</v>
      </c>
      <c r="E864" s="13">
        <v>1</v>
      </c>
      <c r="F864" s="111">
        <v>3313</v>
      </c>
      <c r="G864" s="13" t="s">
        <v>2645</v>
      </c>
      <c r="H864" s="14" t="s">
        <v>274</v>
      </c>
      <c r="I864" s="14" t="s">
        <v>2646</v>
      </c>
      <c r="J864" s="12" t="s">
        <v>661</v>
      </c>
      <c r="K864" s="15" t="s">
        <v>2647</v>
      </c>
      <c r="O864" s="11" t="s">
        <v>2648</v>
      </c>
    </row>
    <row r="865" spans="1:15" hidden="1" x14ac:dyDescent="0.25">
      <c r="A865" s="11" t="s">
        <v>21</v>
      </c>
      <c r="B865" s="11" t="s">
        <v>2429</v>
      </c>
      <c r="C865" s="12" t="s">
        <v>2441</v>
      </c>
      <c r="D865" s="12" t="s">
        <v>1285</v>
      </c>
      <c r="E865" s="13">
        <v>1</v>
      </c>
      <c r="F865" s="111">
        <v>3313</v>
      </c>
      <c r="G865" s="13" t="s">
        <v>2649</v>
      </c>
      <c r="H865" s="14" t="s">
        <v>274</v>
      </c>
      <c r="I865" s="14" t="s">
        <v>2650</v>
      </c>
      <c r="J865" s="12" t="s">
        <v>661</v>
      </c>
      <c r="K865" s="15" t="s">
        <v>2651</v>
      </c>
      <c r="O865" s="11" t="s">
        <v>2652</v>
      </c>
    </row>
    <row r="866" spans="1:15" hidden="1" x14ac:dyDescent="0.25">
      <c r="A866" s="11" t="s">
        <v>21</v>
      </c>
      <c r="B866" s="11" t="s">
        <v>2429</v>
      </c>
      <c r="C866" s="12" t="s">
        <v>2441</v>
      </c>
      <c r="D866" s="12" t="s">
        <v>2644</v>
      </c>
      <c r="E866" s="13">
        <v>2</v>
      </c>
      <c r="F866" s="111">
        <v>3313</v>
      </c>
      <c r="G866" s="13" t="s">
        <v>2653</v>
      </c>
      <c r="H866" s="14" t="s">
        <v>274</v>
      </c>
      <c r="I866" s="14" t="s">
        <v>2654</v>
      </c>
      <c r="J866" s="12" t="s">
        <v>661</v>
      </c>
      <c r="K866" s="15" t="s">
        <v>2655</v>
      </c>
      <c r="O866" s="11" t="s">
        <v>2648</v>
      </c>
    </row>
    <row r="867" spans="1:15" hidden="1" x14ac:dyDescent="0.25">
      <c r="A867" s="11" t="s">
        <v>21</v>
      </c>
      <c r="B867" s="11" t="s">
        <v>2429</v>
      </c>
      <c r="C867" s="12" t="s">
        <v>2441</v>
      </c>
      <c r="D867" s="12" t="s">
        <v>2644</v>
      </c>
      <c r="E867" s="13">
        <v>3</v>
      </c>
      <c r="F867" s="111">
        <v>3313</v>
      </c>
      <c r="G867" s="13" t="s">
        <v>2656</v>
      </c>
      <c r="H867" s="14" t="s">
        <v>274</v>
      </c>
      <c r="I867" s="14" t="s">
        <v>2657</v>
      </c>
      <c r="J867" s="12" t="s">
        <v>661</v>
      </c>
      <c r="K867" s="15" t="s">
        <v>2658</v>
      </c>
      <c r="O867" s="11" t="s">
        <v>2648</v>
      </c>
    </row>
    <row r="868" spans="1:15" hidden="1" x14ac:dyDescent="0.25">
      <c r="A868" s="11" t="s">
        <v>21</v>
      </c>
      <c r="B868" s="11" t="s">
        <v>2429</v>
      </c>
      <c r="C868" s="12" t="s">
        <v>2441</v>
      </c>
      <c r="D868" s="12" t="s">
        <v>2644</v>
      </c>
      <c r="E868" s="13">
        <v>4</v>
      </c>
      <c r="F868" s="111">
        <v>3313</v>
      </c>
      <c r="G868" s="13" t="s">
        <v>2659</v>
      </c>
      <c r="H868" s="14" t="s">
        <v>274</v>
      </c>
      <c r="I868" s="14" t="s">
        <v>2660</v>
      </c>
      <c r="J868" s="12" t="s">
        <v>661</v>
      </c>
      <c r="K868" s="15" t="s">
        <v>2661</v>
      </c>
      <c r="O868" s="11" t="s">
        <v>2648</v>
      </c>
    </row>
    <row r="869" spans="1:15" hidden="1" x14ac:dyDescent="0.25">
      <c r="A869" s="11" t="s">
        <v>21</v>
      </c>
      <c r="B869" s="11" t="s">
        <v>2429</v>
      </c>
      <c r="C869" s="12" t="s">
        <v>2441</v>
      </c>
      <c r="D869" s="12" t="s">
        <v>2644</v>
      </c>
      <c r="E869" s="13">
        <v>5</v>
      </c>
      <c r="F869" s="111">
        <v>3313</v>
      </c>
      <c r="G869" s="13" t="s">
        <v>2662</v>
      </c>
      <c r="H869" s="14" t="s">
        <v>274</v>
      </c>
      <c r="I869" s="14" t="s">
        <v>2663</v>
      </c>
      <c r="J869" s="12" t="s">
        <v>661</v>
      </c>
      <c r="K869" s="15" t="s">
        <v>2664</v>
      </c>
      <c r="O869" s="11" t="s">
        <v>2648</v>
      </c>
    </row>
    <row r="870" spans="1:15" hidden="1" x14ac:dyDescent="0.25">
      <c r="A870" s="11" t="s">
        <v>21</v>
      </c>
      <c r="B870" s="11" t="s">
        <v>2429</v>
      </c>
      <c r="C870" s="12" t="s">
        <v>2441</v>
      </c>
      <c r="D870" s="12" t="s">
        <v>2644</v>
      </c>
      <c r="E870" s="13">
        <v>6</v>
      </c>
      <c r="F870" s="111">
        <v>3313</v>
      </c>
      <c r="G870" s="13" t="s">
        <v>2665</v>
      </c>
      <c r="H870" s="14" t="s">
        <v>274</v>
      </c>
      <c r="I870" s="14" t="s">
        <v>2666</v>
      </c>
      <c r="J870" s="12" t="s">
        <v>661</v>
      </c>
      <c r="K870" s="15" t="s">
        <v>2667</v>
      </c>
      <c r="O870" s="11" t="s">
        <v>2648</v>
      </c>
    </row>
    <row r="871" spans="1:15" hidden="1" x14ac:dyDescent="0.25">
      <c r="A871" s="11" t="s">
        <v>134</v>
      </c>
      <c r="B871" s="11" t="s">
        <v>134</v>
      </c>
      <c r="C871" s="12" t="s">
        <v>2</v>
      </c>
      <c r="D871" s="12" t="s">
        <v>2</v>
      </c>
      <c r="E871" s="13" t="s">
        <v>2</v>
      </c>
      <c r="F871" s="111" t="s">
        <v>2</v>
      </c>
      <c r="G871" s="13" t="s">
        <v>2</v>
      </c>
      <c r="H871" s="14" t="s">
        <v>2</v>
      </c>
      <c r="I871" s="14" t="s">
        <v>23</v>
      </c>
      <c r="J871" s="12" t="s">
        <v>21</v>
      </c>
      <c r="K871" s="15" t="s">
        <v>21</v>
      </c>
      <c r="L871" s="16" t="s">
        <v>21</v>
      </c>
      <c r="M871" s="16" t="s">
        <v>21</v>
      </c>
      <c r="N871" s="58" t="s">
        <v>23</v>
      </c>
      <c r="O871" s="11" t="s">
        <v>23</v>
      </c>
    </row>
    <row r="872" spans="1:15" hidden="1" x14ac:dyDescent="0.25">
      <c r="A872" s="11" t="s">
        <v>134</v>
      </c>
      <c r="B872" s="11" t="s">
        <v>134</v>
      </c>
      <c r="C872" s="12" t="s">
        <v>2</v>
      </c>
      <c r="D872" s="12" t="s">
        <v>2</v>
      </c>
      <c r="E872" s="13" t="s">
        <v>2</v>
      </c>
      <c r="F872" s="111" t="s">
        <v>2</v>
      </c>
      <c r="G872" s="13" t="s">
        <v>2</v>
      </c>
      <c r="H872" s="14" t="s">
        <v>21</v>
      </c>
      <c r="I872" s="14" t="s">
        <v>21</v>
      </c>
      <c r="J872" s="12" t="s">
        <v>21</v>
      </c>
      <c r="K872" s="15" t="s">
        <v>21</v>
      </c>
      <c r="L872" s="16" t="s">
        <v>21</v>
      </c>
      <c r="M872" s="16" t="s">
        <v>21</v>
      </c>
      <c r="N872" s="58" t="s">
        <v>23</v>
      </c>
      <c r="O872" s="11" t="s">
        <v>23</v>
      </c>
    </row>
    <row r="873" spans="1:15" hidden="1" x14ac:dyDescent="0.25">
      <c r="A873" s="11" t="s">
        <v>21</v>
      </c>
      <c r="B873" s="11" t="s">
        <v>2429</v>
      </c>
      <c r="C873" s="12" t="s">
        <v>2441</v>
      </c>
      <c r="D873" s="12" t="s">
        <v>2512</v>
      </c>
      <c r="E873" s="13">
        <v>1</v>
      </c>
      <c r="F873" s="111">
        <v>3314</v>
      </c>
      <c r="G873" s="13" t="s">
        <v>2513</v>
      </c>
      <c r="H873" s="14" t="s">
        <v>274</v>
      </c>
      <c r="I873" s="14" t="s">
        <v>2514</v>
      </c>
      <c r="J873" s="12" t="s">
        <v>661</v>
      </c>
      <c r="K873" s="15" t="s">
        <v>2515</v>
      </c>
      <c r="O873" s="11" t="s">
        <v>2516</v>
      </c>
    </row>
    <row r="874" spans="1:15" hidden="1" x14ac:dyDescent="0.25">
      <c r="A874" s="11" t="s">
        <v>21</v>
      </c>
      <c r="B874" s="11" t="s">
        <v>2429</v>
      </c>
      <c r="C874" s="12" t="s">
        <v>2441</v>
      </c>
      <c r="D874" s="12" t="s">
        <v>1108</v>
      </c>
      <c r="E874" s="13">
        <v>1</v>
      </c>
      <c r="F874" s="111">
        <v>3314</v>
      </c>
      <c r="G874" s="13" t="s">
        <v>2520</v>
      </c>
      <c r="H874" s="14" t="s">
        <v>274</v>
      </c>
      <c r="I874" s="14" t="s">
        <v>2521</v>
      </c>
      <c r="J874" s="12" t="s">
        <v>661</v>
      </c>
      <c r="K874" s="15" t="s">
        <v>2522</v>
      </c>
      <c r="O874" s="11" t="s">
        <v>2523</v>
      </c>
    </row>
    <row r="875" spans="1:15" hidden="1" x14ac:dyDescent="0.25">
      <c r="A875" s="11" t="s">
        <v>21</v>
      </c>
      <c r="B875" s="11" t="s">
        <v>2429</v>
      </c>
      <c r="C875" s="12" t="s">
        <v>2441</v>
      </c>
      <c r="D875" s="12" t="s">
        <v>2527</v>
      </c>
      <c r="E875" s="13">
        <v>1</v>
      </c>
      <c r="F875" s="111">
        <v>3314</v>
      </c>
      <c r="G875" s="13" t="s">
        <v>2528</v>
      </c>
      <c r="H875" s="14" t="s">
        <v>274</v>
      </c>
      <c r="I875" s="14" t="s">
        <v>2529</v>
      </c>
      <c r="J875" s="12" t="s">
        <v>661</v>
      </c>
      <c r="K875" s="15" t="s">
        <v>2530</v>
      </c>
      <c r="O875" s="11" t="s">
        <v>2531</v>
      </c>
    </row>
    <row r="876" spans="1:15" hidden="1" x14ac:dyDescent="0.25">
      <c r="A876" s="11" t="s">
        <v>21</v>
      </c>
      <c r="B876" s="11" t="s">
        <v>2429</v>
      </c>
      <c r="C876" s="12" t="s">
        <v>2441</v>
      </c>
      <c r="D876" s="12" t="s">
        <v>2538</v>
      </c>
      <c r="E876" s="13">
        <v>1</v>
      </c>
      <c r="F876" s="111">
        <v>3314</v>
      </c>
      <c r="G876" s="13" t="s">
        <v>2539</v>
      </c>
      <c r="H876" s="14" t="s">
        <v>274</v>
      </c>
      <c r="I876" s="14" t="s">
        <v>2540</v>
      </c>
      <c r="J876" s="12" t="s">
        <v>661</v>
      </c>
      <c r="K876" s="15" t="s">
        <v>2541</v>
      </c>
      <c r="O876" s="11" t="s">
        <v>2542</v>
      </c>
    </row>
    <row r="877" spans="1:15" hidden="1" x14ac:dyDescent="0.25">
      <c r="A877" s="11" t="s">
        <v>21</v>
      </c>
      <c r="B877" s="11" t="s">
        <v>2429</v>
      </c>
      <c r="C877" s="12" t="s">
        <v>2441</v>
      </c>
      <c r="D877" s="12" t="s">
        <v>2549</v>
      </c>
      <c r="E877" s="13">
        <v>1</v>
      </c>
      <c r="F877" s="111">
        <v>3314</v>
      </c>
      <c r="G877" s="13" t="s">
        <v>2550</v>
      </c>
      <c r="H877" s="14" t="s">
        <v>274</v>
      </c>
      <c r="I877" s="14" t="s">
        <v>2551</v>
      </c>
      <c r="J877" s="12" t="s">
        <v>661</v>
      </c>
      <c r="K877" s="15" t="s">
        <v>2552</v>
      </c>
      <c r="O877" s="11" t="s">
        <v>2553</v>
      </c>
    </row>
    <row r="878" spans="1:15" hidden="1" x14ac:dyDescent="0.25">
      <c r="A878" s="11" t="s">
        <v>21</v>
      </c>
      <c r="B878" s="11" t="s">
        <v>2429</v>
      </c>
      <c r="C878" s="12" t="s">
        <v>2441</v>
      </c>
      <c r="D878" s="12" t="s">
        <v>2863</v>
      </c>
      <c r="E878" s="13">
        <v>1</v>
      </c>
      <c r="F878" s="111">
        <v>3315</v>
      </c>
      <c r="G878" s="13" t="s">
        <v>2864</v>
      </c>
      <c r="H878" s="14" t="s">
        <v>274</v>
      </c>
      <c r="I878" s="14" t="s">
        <v>2865</v>
      </c>
      <c r="J878" s="12" t="s">
        <v>559</v>
      </c>
      <c r="K878" s="15" t="s">
        <v>2866</v>
      </c>
      <c r="O878" s="11" t="s">
        <v>2867</v>
      </c>
    </row>
    <row r="879" spans="1:15" hidden="1" x14ac:dyDescent="0.25">
      <c r="A879" s="11" t="s">
        <v>21</v>
      </c>
      <c r="B879" s="11" t="s">
        <v>2429</v>
      </c>
      <c r="C879" s="12" t="s">
        <v>2441</v>
      </c>
      <c r="D879" s="12" t="s">
        <v>2794</v>
      </c>
      <c r="E879" s="13">
        <v>1</v>
      </c>
      <c r="F879" s="111">
        <v>3316</v>
      </c>
      <c r="G879" s="13" t="s">
        <v>2799</v>
      </c>
      <c r="H879" s="14" t="s">
        <v>554</v>
      </c>
      <c r="I879" s="14" t="s">
        <v>2800</v>
      </c>
      <c r="J879" s="12" t="s">
        <v>555</v>
      </c>
      <c r="K879" s="15" t="s">
        <v>2801</v>
      </c>
      <c r="O879" s="11" t="s">
        <v>2798</v>
      </c>
    </row>
    <row r="880" spans="1:15" hidden="1" x14ac:dyDescent="0.25">
      <c r="A880" s="11" t="s">
        <v>21</v>
      </c>
      <c r="B880" s="11" t="s">
        <v>2429</v>
      </c>
      <c r="C880" s="12" t="s">
        <v>2441</v>
      </c>
      <c r="D880" s="12" t="s">
        <v>2802</v>
      </c>
      <c r="E880" s="13">
        <v>1</v>
      </c>
      <c r="F880" s="111">
        <v>3316</v>
      </c>
      <c r="G880" s="13" t="s">
        <v>2803</v>
      </c>
      <c r="H880" s="14" t="s">
        <v>554</v>
      </c>
      <c r="I880" s="14" t="s">
        <v>2804</v>
      </c>
      <c r="J880" s="12" t="s">
        <v>555</v>
      </c>
      <c r="K880" s="15" t="s">
        <v>2805</v>
      </c>
      <c r="O880" s="11" t="s">
        <v>2806</v>
      </c>
    </row>
    <row r="881" spans="1:15" hidden="1" x14ac:dyDescent="0.25">
      <c r="A881" s="11" t="s">
        <v>21</v>
      </c>
      <c r="B881" s="11" t="s">
        <v>2429</v>
      </c>
      <c r="C881" s="12" t="s">
        <v>2441</v>
      </c>
      <c r="D881" s="12" t="s">
        <v>2868</v>
      </c>
      <c r="E881" s="13">
        <v>1</v>
      </c>
      <c r="F881" s="111">
        <v>3316</v>
      </c>
      <c r="G881" s="13" t="s">
        <v>2869</v>
      </c>
      <c r="H881" s="14" t="s">
        <v>554</v>
      </c>
      <c r="I881" s="14" t="s">
        <v>2870</v>
      </c>
      <c r="J881" s="12" t="s">
        <v>555</v>
      </c>
      <c r="K881" s="15" t="s">
        <v>2871</v>
      </c>
      <c r="O881" s="11" t="s">
        <v>2872</v>
      </c>
    </row>
    <row r="882" spans="1:15" hidden="1" x14ac:dyDescent="0.25">
      <c r="A882" s="11" t="s">
        <v>0</v>
      </c>
      <c r="B882" s="11" t="s">
        <v>2429</v>
      </c>
      <c r="C882" s="12" t="s">
        <v>2441</v>
      </c>
      <c r="D882" s="12" t="s">
        <v>2873</v>
      </c>
      <c r="E882" s="13">
        <v>1</v>
      </c>
      <c r="F882" s="111">
        <v>3316</v>
      </c>
      <c r="G882" s="13" t="s">
        <v>2874</v>
      </c>
      <c r="H882" s="14" t="s">
        <v>554</v>
      </c>
      <c r="I882" s="14" t="s">
        <v>2875</v>
      </c>
      <c r="J882" s="12" t="s">
        <v>555</v>
      </c>
      <c r="K882" s="15" t="s">
        <v>2876</v>
      </c>
      <c r="O882" s="11" t="s">
        <v>2877</v>
      </c>
    </row>
    <row r="883" spans="1:15" hidden="1" x14ac:dyDescent="0.25">
      <c r="A883" s="11" t="s">
        <v>0</v>
      </c>
      <c r="B883" s="11" t="s">
        <v>2429</v>
      </c>
      <c r="C883" s="12" t="s">
        <v>2441</v>
      </c>
      <c r="D883" s="12" t="s">
        <v>2879</v>
      </c>
      <c r="E883" s="13">
        <v>1</v>
      </c>
      <c r="F883" s="111">
        <v>3316</v>
      </c>
      <c r="G883" s="13" t="s">
        <v>2880</v>
      </c>
      <c r="H883" s="14" t="s">
        <v>554</v>
      </c>
      <c r="I883" s="14" t="s">
        <v>2881</v>
      </c>
      <c r="J883" s="12" t="s">
        <v>555</v>
      </c>
      <c r="K883" s="15" t="s">
        <v>2882</v>
      </c>
      <c r="O883" s="11" t="s">
        <v>2883</v>
      </c>
    </row>
    <row r="884" spans="1:15" hidden="1" x14ac:dyDescent="0.25">
      <c r="A884" s="11" t="s">
        <v>21</v>
      </c>
      <c r="B884" s="11" t="s">
        <v>2429</v>
      </c>
      <c r="C884" s="12" t="s">
        <v>2441</v>
      </c>
      <c r="D884" s="12" t="s">
        <v>2794</v>
      </c>
      <c r="E884" s="13">
        <v>2</v>
      </c>
      <c r="F884" s="111">
        <v>3316</v>
      </c>
      <c r="G884" s="13" t="s">
        <v>2795</v>
      </c>
      <c r="H884" s="14" t="s">
        <v>554</v>
      </c>
      <c r="I884" s="14" t="s">
        <v>2796</v>
      </c>
      <c r="J884" s="12" t="s">
        <v>555</v>
      </c>
      <c r="K884" s="15" t="s">
        <v>2797</v>
      </c>
      <c r="O884" s="11" t="s">
        <v>2798</v>
      </c>
    </row>
    <row r="885" spans="1:15" hidden="1" x14ac:dyDescent="0.25">
      <c r="A885" s="11" t="s">
        <v>134</v>
      </c>
      <c r="D885" s="12" t="s">
        <v>173</v>
      </c>
      <c r="G885" s="13" t="s">
        <v>178</v>
      </c>
      <c r="H885" s="14" t="s">
        <v>175</v>
      </c>
      <c r="I885" s="14" t="s">
        <v>179</v>
      </c>
      <c r="K885" s="15" t="s">
        <v>180</v>
      </c>
      <c r="O885" s="11" t="s">
        <v>3263</v>
      </c>
    </row>
    <row r="886" spans="1:15" hidden="1" x14ac:dyDescent="0.25">
      <c r="A886" s="11" t="s">
        <v>21</v>
      </c>
      <c r="B886" s="11" t="s">
        <v>2429</v>
      </c>
      <c r="C886" s="12" t="s">
        <v>2441</v>
      </c>
      <c r="D886" s="12" t="s">
        <v>2629</v>
      </c>
      <c r="E886" s="13">
        <v>1</v>
      </c>
      <c r="F886" s="111">
        <v>3801</v>
      </c>
      <c r="G886" s="13" t="s">
        <v>2630</v>
      </c>
      <c r="H886" s="14" t="s">
        <v>274</v>
      </c>
      <c r="I886" s="14" t="s">
        <v>2631</v>
      </c>
      <c r="J886" s="12" t="s">
        <v>972</v>
      </c>
      <c r="K886" s="15" t="s">
        <v>2632</v>
      </c>
      <c r="O886" s="11" t="s">
        <v>2633</v>
      </c>
    </row>
    <row r="887" spans="1:15" hidden="1" x14ac:dyDescent="0.25">
      <c r="A887" s="11" t="s">
        <v>21</v>
      </c>
      <c r="B887" s="11" t="s">
        <v>2429</v>
      </c>
      <c r="C887" s="12" t="s">
        <v>2441</v>
      </c>
      <c r="D887" s="12" t="s">
        <v>2634</v>
      </c>
      <c r="E887" s="13">
        <v>1</v>
      </c>
      <c r="F887" s="111">
        <v>3802</v>
      </c>
      <c r="G887" s="13" t="s">
        <v>2635</v>
      </c>
      <c r="H887" s="14" t="s">
        <v>274</v>
      </c>
      <c r="I887" s="14" t="s">
        <v>2636</v>
      </c>
      <c r="J887" s="12" t="s">
        <v>972</v>
      </c>
      <c r="K887" s="15" t="s">
        <v>2637</v>
      </c>
      <c r="O887" s="11" t="s">
        <v>2638</v>
      </c>
    </row>
    <row r="888" spans="1:15" hidden="1" x14ac:dyDescent="0.25">
      <c r="A888" s="11" t="s">
        <v>21</v>
      </c>
      <c r="B888" s="11" t="s">
        <v>657</v>
      </c>
      <c r="C888" s="12" t="s">
        <v>42</v>
      </c>
      <c r="D888" s="12" t="s">
        <v>658</v>
      </c>
      <c r="E888" s="13">
        <v>1</v>
      </c>
      <c r="F888" s="111">
        <v>4112</v>
      </c>
      <c r="G888" s="13" t="s">
        <v>659</v>
      </c>
      <c r="H888" s="14" t="s">
        <v>274</v>
      </c>
      <c r="I888" s="14" t="s">
        <v>660</v>
      </c>
      <c r="J888" s="12" t="s">
        <v>661</v>
      </c>
      <c r="K888" s="15" t="s">
        <v>662</v>
      </c>
      <c r="O888" s="11" t="s">
        <v>663</v>
      </c>
    </row>
    <row r="889" spans="1:15" hidden="1" x14ac:dyDescent="0.25">
      <c r="A889" s="11" t="s">
        <v>134</v>
      </c>
      <c r="B889" s="11" t="s">
        <v>134</v>
      </c>
      <c r="C889" s="12" t="s">
        <v>2</v>
      </c>
      <c r="D889" s="12" t="s">
        <v>2</v>
      </c>
      <c r="E889" s="13" t="s">
        <v>2</v>
      </c>
      <c r="F889" s="111" t="s">
        <v>2</v>
      </c>
      <c r="G889" s="13" t="s">
        <v>2</v>
      </c>
      <c r="H889" s="14" t="s">
        <v>2</v>
      </c>
      <c r="I889" s="14" t="s">
        <v>21</v>
      </c>
      <c r="J889" s="12" t="s">
        <v>21</v>
      </c>
      <c r="K889" s="15" t="s">
        <v>23</v>
      </c>
      <c r="L889" s="16" t="s">
        <v>21</v>
      </c>
      <c r="M889" s="16" t="s">
        <v>21</v>
      </c>
      <c r="N889" s="58" t="s">
        <v>23</v>
      </c>
      <c r="O889" s="11" t="s">
        <v>21</v>
      </c>
    </row>
    <row r="890" spans="1:15" hidden="1" x14ac:dyDescent="0.25">
      <c r="A890" s="11" t="s">
        <v>21</v>
      </c>
      <c r="B890" s="11" t="s">
        <v>657</v>
      </c>
      <c r="C890" s="12" t="s">
        <v>42</v>
      </c>
      <c r="D890" s="12" t="s">
        <v>734</v>
      </c>
      <c r="E890" s="13">
        <v>1</v>
      </c>
      <c r="F890" s="111">
        <v>4112</v>
      </c>
      <c r="G890" s="13" t="s">
        <v>735</v>
      </c>
      <c r="H890" s="14" t="s">
        <v>274</v>
      </c>
      <c r="I890" s="14" t="s">
        <v>736</v>
      </c>
      <c r="J890" s="12" t="s">
        <v>661</v>
      </c>
      <c r="K890" s="15" t="s">
        <v>737</v>
      </c>
      <c r="O890" s="11" t="s">
        <v>738</v>
      </c>
    </row>
    <row r="891" spans="1:15" hidden="1" x14ac:dyDescent="0.25">
      <c r="A891" s="11" t="s">
        <v>21</v>
      </c>
      <c r="B891" s="11" t="s">
        <v>657</v>
      </c>
      <c r="C891" s="12" t="s">
        <v>42</v>
      </c>
      <c r="D891" s="12" t="s">
        <v>664</v>
      </c>
      <c r="E891" s="13">
        <v>1</v>
      </c>
      <c r="F891" s="111">
        <v>4113</v>
      </c>
      <c r="G891" s="13" t="s">
        <v>665</v>
      </c>
      <c r="H891" s="14" t="s">
        <v>274</v>
      </c>
      <c r="I891" s="14" t="s">
        <v>666</v>
      </c>
      <c r="J891" s="12" t="s">
        <v>661</v>
      </c>
      <c r="K891" s="15" t="s">
        <v>667</v>
      </c>
      <c r="O891" s="11" t="s">
        <v>668</v>
      </c>
    </row>
    <row r="892" spans="1:15" hidden="1" x14ac:dyDescent="0.25">
      <c r="A892" s="11" t="s">
        <v>21</v>
      </c>
      <c r="B892" s="11" t="s">
        <v>657</v>
      </c>
      <c r="C892" s="12" t="s">
        <v>42</v>
      </c>
      <c r="D892" s="12" t="s">
        <v>669</v>
      </c>
      <c r="E892" s="13">
        <v>1</v>
      </c>
      <c r="F892" s="111">
        <v>4113</v>
      </c>
      <c r="G892" s="13" t="s">
        <v>670</v>
      </c>
      <c r="H892" s="14" t="s">
        <v>274</v>
      </c>
      <c r="I892" s="14" t="s">
        <v>671</v>
      </c>
      <c r="J892" s="12" t="s">
        <v>661</v>
      </c>
      <c r="K892" s="15" t="s">
        <v>672</v>
      </c>
      <c r="O892" s="11" t="s">
        <v>673</v>
      </c>
    </row>
    <row r="893" spans="1:15" hidden="1" x14ac:dyDescent="0.25">
      <c r="A893" s="11" t="s">
        <v>21</v>
      </c>
      <c r="B893" s="11" t="s">
        <v>657</v>
      </c>
      <c r="C893" s="12" t="s">
        <v>42</v>
      </c>
      <c r="D893" s="12" t="s">
        <v>674</v>
      </c>
      <c r="E893" s="13">
        <v>1</v>
      </c>
      <c r="F893" s="111">
        <v>4113</v>
      </c>
      <c r="G893" s="13" t="s">
        <v>675</v>
      </c>
      <c r="H893" s="14" t="s">
        <v>274</v>
      </c>
      <c r="I893" s="14" t="s">
        <v>676</v>
      </c>
      <c r="J893" s="12" t="s">
        <v>661</v>
      </c>
      <c r="K893" s="15" t="s">
        <v>677</v>
      </c>
      <c r="O893" s="11" t="s">
        <v>678</v>
      </c>
    </row>
    <row r="894" spans="1:15" hidden="1" x14ac:dyDescent="0.25">
      <c r="A894" s="11" t="s">
        <v>21</v>
      </c>
      <c r="B894" s="11" t="s">
        <v>657</v>
      </c>
      <c r="C894" s="12" t="s">
        <v>42</v>
      </c>
      <c r="D894" s="12" t="s">
        <v>679</v>
      </c>
      <c r="E894" s="13">
        <v>1</v>
      </c>
      <c r="F894" s="111">
        <v>4113</v>
      </c>
      <c r="G894" s="13" t="s">
        <v>680</v>
      </c>
      <c r="H894" s="14" t="s">
        <v>274</v>
      </c>
      <c r="I894" s="14" t="s">
        <v>681</v>
      </c>
      <c r="J894" s="12" t="s">
        <v>661</v>
      </c>
      <c r="K894" s="15" t="s">
        <v>682</v>
      </c>
      <c r="O894" s="11" t="s">
        <v>683</v>
      </c>
    </row>
    <row r="895" spans="1:15" hidden="1" x14ac:dyDescent="0.25">
      <c r="A895" s="11" t="s">
        <v>21</v>
      </c>
      <c r="B895" s="11" t="s">
        <v>657</v>
      </c>
      <c r="C895" s="12" t="s">
        <v>42</v>
      </c>
      <c r="D895" s="12" t="s">
        <v>684</v>
      </c>
      <c r="E895" s="13">
        <v>1</v>
      </c>
      <c r="F895" s="111">
        <v>4113</v>
      </c>
      <c r="G895" s="13" t="s">
        <v>685</v>
      </c>
      <c r="H895" s="14" t="s">
        <v>274</v>
      </c>
      <c r="I895" s="14" t="s">
        <v>686</v>
      </c>
      <c r="J895" s="12" t="s">
        <v>661</v>
      </c>
      <c r="K895" s="15" t="s">
        <v>687</v>
      </c>
      <c r="O895" s="11" t="s">
        <v>688</v>
      </c>
    </row>
    <row r="896" spans="1:15" hidden="1" x14ac:dyDescent="0.25">
      <c r="A896" s="11" t="s">
        <v>21</v>
      </c>
      <c r="B896" s="11" t="s">
        <v>657</v>
      </c>
      <c r="C896" s="12" t="s">
        <v>42</v>
      </c>
      <c r="D896" s="12" t="s">
        <v>689</v>
      </c>
      <c r="E896" s="13">
        <v>1</v>
      </c>
      <c r="F896" s="111">
        <v>4113</v>
      </c>
      <c r="G896" s="13" t="s">
        <v>690</v>
      </c>
      <c r="H896" s="14" t="s">
        <v>274</v>
      </c>
      <c r="I896" s="14" t="s">
        <v>691</v>
      </c>
      <c r="J896" s="12" t="s">
        <v>661</v>
      </c>
      <c r="K896" s="15" t="s">
        <v>692</v>
      </c>
      <c r="O896" s="11" t="s">
        <v>693</v>
      </c>
    </row>
    <row r="897" spans="1:15" hidden="1" x14ac:dyDescent="0.25">
      <c r="A897" s="11" t="s">
        <v>21</v>
      </c>
      <c r="B897" s="11" t="s">
        <v>657</v>
      </c>
      <c r="C897" s="12" t="s">
        <v>42</v>
      </c>
      <c r="D897" s="12" t="s">
        <v>694</v>
      </c>
      <c r="E897" s="13">
        <v>1</v>
      </c>
      <c r="F897" s="111">
        <v>4113</v>
      </c>
      <c r="G897" s="13" t="s">
        <v>695</v>
      </c>
      <c r="H897" s="14" t="s">
        <v>274</v>
      </c>
      <c r="I897" s="14" t="s">
        <v>696</v>
      </c>
      <c r="J897" s="12" t="s">
        <v>661</v>
      </c>
      <c r="K897" s="15" t="s">
        <v>697</v>
      </c>
      <c r="O897" s="11" t="s">
        <v>698</v>
      </c>
    </row>
    <row r="898" spans="1:15" hidden="1" x14ac:dyDescent="0.25">
      <c r="A898" s="11" t="s">
        <v>21</v>
      </c>
      <c r="B898" s="11" t="s">
        <v>657</v>
      </c>
      <c r="C898" s="12" t="s">
        <v>42</v>
      </c>
      <c r="D898" s="12" t="s">
        <v>801</v>
      </c>
      <c r="E898" s="13">
        <v>1</v>
      </c>
      <c r="F898" s="111">
        <v>4113</v>
      </c>
      <c r="G898" s="13" t="s">
        <v>802</v>
      </c>
      <c r="H898" s="14" t="s">
        <v>274</v>
      </c>
      <c r="I898" s="14" t="s">
        <v>803</v>
      </c>
      <c r="J898" s="12" t="s">
        <v>661</v>
      </c>
      <c r="K898" s="15" t="s">
        <v>804</v>
      </c>
      <c r="O898" s="11" t="s">
        <v>805</v>
      </c>
    </row>
    <row r="899" spans="1:15" hidden="1" x14ac:dyDescent="0.25">
      <c r="A899" s="11" t="s">
        <v>21</v>
      </c>
      <c r="B899" s="11" t="s">
        <v>657</v>
      </c>
      <c r="C899" s="12" t="s">
        <v>42</v>
      </c>
      <c r="D899" s="12" t="s">
        <v>806</v>
      </c>
      <c r="E899" s="13">
        <v>1</v>
      </c>
      <c r="F899" s="111">
        <v>4113</v>
      </c>
      <c r="G899" s="13" t="s">
        <v>807</v>
      </c>
      <c r="H899" s="14" t="s">
        <v>274</v>
      </c>
      <c r="I899" s="14" t="s">
        <v>808</v>
      </c>
      <c r="J899" s="12" t="s">
        <v>661</v>
      </c>
      <c r="K899" s="15" t="s">
        <v>809</v>
      </c>
      <c r="O899" s="11" t="s">
        <v>810</v>
      </c>
    </row>
    <row r="900" spans="1:15" hidden="1" x14ac:dyDescent="0.25">
      <c r="A900" s="11" t="s">
        <v>21</v>
      </c>
      <c r="B900" s="11" t="s">
        <v>657</v>
      </c>
      <c r="C900" s="12" t="s">
        <v>42</v>
      </c>
      <c r="D900" s="12" t="s">
        <v>811</v>
      </c>
      <c r="E900" s="13">
        <v>1</v>
      </c>
      <c r="F900" s="111">
        <v>4113</v>
      </c>
      <c r="G900" s="13" t="s">
        <v>812</v>
      </c>
      <c r="H900" s="14" t="s">
        <v>274</v>
      </c>
      <c r="I900" s="14" t="s">
        <v>813</v>
      </c>
      <c r="J900" s="12" t="s">
        <v>661</v>
      </c>
      <c r="K900" s="15" t="s">
        <v>814</v>
      </c>
      <c r="O900" s="11" t="s">
        <v>815</v>
      </c>
    </row>
    <row r="901" spans="1:15" hidden="1" x14ac:dyDescent="0.25">
      <c r="A901" s="11" t="s">
        <v>21</v>
      </c>
      <c r="B901" s="11" t="s">
        <v>657</v>
      </c>
      <c r="C901" s="12" t="s">
        <v>42</v>
      </c>
      <c r="D901" s="12" t="s">
        <v>709</v>
      </c>
      <c r="E901" s="13">
        <v>1</v>
      </c>
      <c r="F901" s="111">
        <v>4115</v>
      </c>
      <c r="G901" s="13" t="s">
        <v>710</v>
      </c>
      <c r="H901" s="14" t="s">
        <v>274</v>
      </c>
      <c r="I901" s="14" t="s">
        <v>711</v>
      </c>
      <c r="J901" s="12" t="s">
        <v>661</v>
      </c>
      <c r="K901" s="15" t="s">
        <v>712</v>
      </c>
      <c r="O901" s="11" t="s">
        <v>713</v>
      </c>
    </row>
    <row r="902" spans="1:15" hidden="1" x14ac:dyDescent="0.25">
      <c r="A902" s="11" t="s">
        <v>21</v>
      </c>
      <c r="B902" s="11" t="s">
        <v>657</v>
      </c>
      <c r="C902" s="12" t="s">
        <v>42</v>
      </c>
      <c r="D902" s="12" t="s">
        <v>714</v>
      </c>
      <c r="E902" s="13">
        <v>1</v>
      </c>
      <c r="F902" s="111">
        <v>4115</v>
      </c>
      <c r="G902" s="13" t="s">
        <v>715</v>
      </c>
      <c r="H902" s="14" t="s">
        <v>274</v>
      </c>
      <c r="I902" s="14" t="s">
        <v>716</v>
      </c>
      <c r="J902" s="12" t="s">
        <v>661</v>
      </c>
      <c r="K902" s="15" t="s">
        <v>717</v>
      </c>
      <c r="O902" s="11" t="s">
        <v>718</v>
      </c>
    </row>
    <row r="903" spans="1:15" hidden="1" x14ac:dyDescent="0.25">
      <c r="A903" s="11" t="s">
        <v>21</v>
      </c>
      <c r="B903" s="11" t="s">
        <v>657</v>
      </c>
      <c r="C903" s="12" t="s">
        <v>42</v>
      </c>
      <c r="D903" s="12" t="s">
        <v>719</v>
      </c>
      <c r="E903" s="13">
        <v>1</v>
      </c>
      <c r="F903" s="111">
        <v>4115</v>
      </c>
      <c r="G903" s="13" t="s">
        <v>720</v>
      </c>
      <c r="H903" s="14" t="s">
        <v>274</v>
      </c>
      <c r="I903" s="14" t="s">
        <v>721</v>
      </c>
      <c r="J903" s="12" t="s">
        <v>661</v>
      </c>
      <c r="K903" s="15" t="s">
        <v>722</v>
      </c>
      <c r="O903" s="11" t="s">
        <v>723</v>
      </c>
    </row>
    <row r="904" spans="1:15" hidden="1" x14ac:dyDescent="0.25">
      <c r="A904" s="11" t="s">
        <v>21</v>
      </c>
      <c r="B904" s="11" t="s">
        <v>657</v>
      </c>
      <c r="C904" s="12" t="s">
        <v>42</v>
      </c>
      <c r="D904" s="12" t="s">
        <v>724</v>
      </c>
      <c r="E904" s="13">
        <v>1</v>
      </c>
      <c r="F904" s="111">
        <v>4115</v>
      </c>
      <c r="G904" s="13" t="s">
        <v>725</v>
      </c>
      <c r="H904" s="14" t="s">
        <v>274</v>
      </c>
      <c r="I904" s="14" t="s">
        <v>726</v>
      </c>
      <c r="J904" s="12" t="s">
        <v>661</v>
      </c>
      <c r="K904" s="15" t="s">
        <v>727</v>
      </c>
      <c r="O904" s="11" t="s">
        <v>728</v>
      </c>
    </row>
    <row r="905" spans="1:15" hidden="1" x14ac:dyDescent="0.25">
      <c r="A905" s="11" t="s">
        <v>21</v>
      </c>
      <c r="B905" s="11" t="s">
        <v>657</v>
      </c>
      <c r="C905" s="12" t="s">
        <v>42</v>
      </c>
      <c r="D905" s="12" t="s">
        <v>816</v>
      </c>
      <c r="E905" s="13">
        <v>1</v>
      </c>
      <c r="F905" s="111">
        <v>4115</v>
      </c>
      <c r="G905" s="13" t="s">
        <v>817</v>
      </c>
      <c r="H905" s="14" t="s">
        <v>274</v>
      </c>
      <c r="I905" s="14" t="s">
        <v>818</v>
      </c>
      <c r="J905" s="12" t="s">
        <v>661</v>
      </c>
      <c r="K905" s="15" t="s">
        <v>819</v>
      </c>
      <c r="O905" s="11" t="s">
        <v>820</v>
      </c>
    </row>
    <row r="906" spans="1:15" hidden="1" x14ac:dyDescent="0.25">
      <c r="A906" s="11" t="s">
        <v>21</v>
      </c>
      <c r="B906" s="11" t="s">
        <v>657</v>
      </c>
      <c r="C906" s="12" t="s">
        <v>42</v>
      </c>
      <c r="D906" s="12" t="s">
        <v>821</v>
      </c>
      <c r="E906" s="13">
        <v>1</v>
      </c>
      <c r="F906" s="111">
        <v>4115</v>
      </c>
      <c r="G906" s="13" t="s">
        <v>822</v>
      </c>
      <c r="H906" s="14" t="s">
        <v>274</v>
      </c>
      <c r="I906" s="14" t="s">
        <v>823</v>
      </c>
      <c r="J906" s="12" t="s">
        <v>661</v>
      </c>
      <c r="K906" s="15" t="s">
        <v>824</v>
      </c>
      <c r="O906" s="11" t="s">
        <v>825</v>
      </c>
    </row>
    <row r="907" spans="1:15" hidden="1" x14ac:dyDescent="0.25">
      <c r="A907" s="11" t="s">
        <v>21</v>
      </c>
      <c r="B907" s="11" t="s">
        <v>657</v>
      </c>
      <c r="C907" s="12" t="s">
        <v>42</v>
      </c>
      <c r="D907" s="12" t="s">
        <v>826</v>
      </c>
      <c r="E907" s="13">
        <v>1</v>
      </c>
      <c r="F907" s="111">
        <v>4115</v>
      </c>
      <c r="G907" s="13" t="s">
        <v>827</v>
      </c>
      <c r="H907" s="14" t="s">
        <v>274</v>
      </c>
      <c r="I907" s="14" t="s">
        <v>828</v>
      </c>
      <c r="J907" s="12" t="s">
        <v>661</v>
      </c>
      <c r="K907" s="15" t="s">
        <v>829</v>
      </c>
      <c r="O907" s="11" t="s">
        <v>830</v>
      </c>
    </row>
    <row r="908" spans="1:15" hidden="1" x14ac:dyDescent="0.25">
      <c r="A908" s="11" t="s">
        <v>21</v>
      </c>
      <c r="B908" s="11" t="s">
        <v>657</v>
      </c>
      <c r="C908" s="12" t="s">
        <v>551</v>
      </c>
      <c r="D908" s="12" t="s">
        <v>699</v>
      </c>
      <c r="E908" s="13">
        <v>1</v>
      </c>
      <c r="F908" s="111">
        <v>4314</v>
      </c>
      <c r="G908" s="13" t="s">
        <v>700</v>
      </c>
      <c r="H908" s="14" t="s">
        <v>274</v>
      </c>
      <c r="I908" s="14" t="s">
        <v>701</v>
      </c>
      <c r="J908" s="12" t="s">
        <v>661</v>
      </c>
      <c r="K908" s="15" t="s">
        <v>702</v>
      </c>
      <c r="O908" s="11" t="s">
        <v>703</v>
      </c>
    </row>
    <row r="909" spans="1:15" hidden="1" x14ac:dyDescent="0.25">
      <c r="A909" s="11" t="s">
        <v>21</v>
      </c>
      <c r="B909" s="11" t="s">
        <v>657</v>
      </c>
      <c r="C909" s="12" t="s">
        <v>551</v>
      </c>
      <c r="D909" s="12" t="s">
        <v>704</v>
      </c>
      <c r="E909" s="13">
        <v>1</v>
      </c>
      <c r="F909" s="111">
        <v>4314</v>
      </c>
      <c r="G909" s="13" t="s">
        <v>705</v>
      </c>
      <c r="H909" s="14" t="s">
        <v>274</v>
      </c>
      <c r="I909" s="14" t="s">
        <v>706</v>
      </c>
      <c r="J909" s="12" t="s">
        <v>661</v>
      </c>
      <c r="K909" s="15" t="s">
        <v>707</v>
      </c>
      <c r="O909" s="11" t="s">
        <v>708</v>
      </c>
    </row>
    <row r="910" spans="1:15" hidden="1" x14ac:dyDescent="0.25">
      <c r="A910" s="11" t="s">
        <v>21</v>
      </c>
      <c r="B910" s="11" t="s">
        <v>657</v>
      </c>
      <c r="C910" s="12" t="s">
        <v>551</v>
      </c>
      <c r="D910" s="12" t="s">
        <v>767</v>
      </c>
      <c r="E910" s="13">
        <v>1</v>
      </c>
      <c r="F910" s="111">
        <v>4314</v>
      </c>
      <c r="G910" s="13" t="s">
        <v>768</v>
      </c>
      <c r="H910" s="14" t="s">
        <v>274</v>
      </c>
      <c r="I910" s="14" t="s">
        <v>769</v>
      </c>
      <c r="J910" s="12" t="s">
        <v>661</v>
      </c>
      <c r="K910" s="15" t="s">
        <v>770</v>
      </c>
      <c r="O910" s="11" t="s">
        <v>771</v>
      </c>
    </row>
    <row r="911" spans="1:15" hidden="1" x14ac:dyDescent="0.25">
      <c r="A911" s="11" t="s">
        <v>21</v>
      </c>
      <c r="B911" s="11" t="s">
        <v>657</v>
      </c>
      <c r="C911" s="12" t="s">
        <v>551</v>
      </c>
      <c r="D911" s="12" t="s">
        <v>772</v>
      </c>
      <c r="E911" s="13">
        <v>1</v>
      </c>
      <c r="F911" s="111">
        <v>4314</v>
      </c>
      <c r="G911" s="13" t="s">
        <v>773</v>
      </c>
      <c r="H911" s="14" t="s">
        <v>274</v>
      </c>
      <c r="I911" s="14" t="s">
        <v>774</v>
      </c>
      <c r="J911" s="12" t="s">
        <v>661</v>
      </c>
      <c r="K911" s="15" t="s">
        <v>775</v>
      </c>
      <c r="O911" s="11" t="s">
        <v>776</v>
      </c>
    </row>
    <row r="912" spans="1:15" hidden="1" x14ac:dyDescent="0.25">
      <c r="A912" s="11" t="s">
        <v>21</v>
      </c>
      <c r="B912" s="11" t="s">
        <v>657</v>
      </c>
      <c r="C912" s="12" t="s">
        <v>551</v>
      </c>
      <c r="D912" s="12" t="s">
        <v>777</v>
      </c>
      <c r="E912" s="13">
        <v>1</v>
      </c>
      <c r="F912" s="111">
        <v>4314</v>
      </c>
      <c r="G912" s="13" t="s">
        <v>778</v>
      </c>
      <c r="H912" s="14" t="s">
        <v>274</v>
      </c>
      <c r="I912" s="14" t="s">
        <v>779</v>
      </c>
      <c r="J912" s="12" t="s">
        <v>661</v>
      </c>
      <c r="K912" s="15" t="s">
        <v>780</v>
      </c>
      <c r="O912" s="11" t="s">
        <v>781</v>
      </c>
    </row>
    <row r="913" spans="1:15" hidden="1" x14ac:dyDescent="0.25">
      <c r="A913" s="11" t="s">
        <v>21</v>
      </c>
      <c r="B913" s="11" t="s">
        <v>657</v>
      </c>
      <c r="C913" s="12" t="s">
        <v>551</v>
      </c>
      <c r="D913" s="12" t="s">
        <v>782</v>
      </c>
      <c r="E913" s="13">
        <v>1</v>
      </c>
      <c r="F913" s="111">
        <v>4314</v>
      </c>
      <c r="G913" s="13" t="s">
        <v>783</v>
      </c>
      <c r="H913" s="14" t="s">
        <v>274</v>
      </c>
      <c r="I913" s="14" t="s">
        <v>784</v>
      </c>
      <c r="J913" s="12" t="s">
        <v>661</v>
      </c>
      <c r="K913" s="15" t="s">
        <v>785</v>
      </c>
      <c r="O913" s="11" t="s">
        <v>786</v>
      </c>
    </row>
    <row r="914" spans="1:15" hidden="1" x14ac:dyDescent="0.25">
      <c r="A914" s="11" t="s">
        <v>21</v>
      </c>
      <c r="B914" s="11" t="s">
        <v>657</v>
      </c>
      <c r="C914" s="12" t="s">
        <v>551</v>
      </c>
      <c r="D914" s="12" t="s">
        <v>719</v>
      </c>
      <c r="E914" s="13">
        <v>1</v>
      </c>
      <c r="F914" s="111">
        <v>4314</v>
      </c>
      <c r="G914" s="13" t="s">
        <v>787</v>
      </c>
      <c r="H914" s="14" t="s">
        <v>274</v>
      </c>
      <c r="I914" s="14" t="s">
        <v>788</v>
      </c>
      <c r="J914" s="12" t="s">
        <v>661</v>
      </c>
      <c r="K914" s="15" t="s">
        <v>789</v>
      </c>
      <c r="O914" s="11" t="s">
        <v>790</v>
      </c>
    </row>
    <row r="915" spans="1:15" hidden="1" x14ac:dyDescent="0.25">
      <c r="A915" s="11" t="s">
        <v>21</v>
      </c>
      <c r="E915" s="13">
        <v>1</v>
      </c>
      <c r="H915" s="14" t="s">
        <v>110</v>
      </c>
      <c r="I915" s="14" t="s">
        <v>110</v>
      </c>
      <c r="K915" s="15" t="s">
        <v>2725</v>
      </c>
    </row>
    <row r="916" spans="1:15" hidden="1" x14ac:dyDescent="0.25">
      <c r="A916" s="11" t="s">
        <v>21</v>
      </c>
      <c r="E916" s="13">
        <v>1</v>
      </c>
      <c r="H916" s="14" t="s">
        <v>110</v>
      </c>
      <c r="I916" s="14" t="s">
        <v>110</v>
      </c>
      <c r="K916" s="15" t="s">
        <v>2727</v>
      </c>
    </row>
    <row r="917" spans="1:15" hidden="1" x14ac:dyDescent="0.25">
      <c r="A917" s="11" t="s">
        <v>21</v>
      </c>
      <c r="E917" s="13">
        <v>2</v>
      </c>
      <c r="H917" s="14" t="s">
        <v>110</v>
      </c>
      <c r="I917" s="14" t="s">
        <v>110</v>
      </c>
      <c r="K917" s="15" t="s">
        <v>2724</v>
      </c>
    </row>
    <row r="918" spans="1:15" hidden="1" x14ac:dyDescent="0.25">
      <c r="A918" s="11" t="s">
        <v>21</v>
      </c>
      <c r="E918" s="13">
        <v>2</v>
      </c>
      <c r="H918" s="14" t="s">
        <v>110</v>
      </c>
      <c r="I918" s="14" t="s">
        <v>110</v>
      </c>
      <c r="K918" s="15" t="s">
        <v>2726</v>
      </c>
    </row>
    <row r="919" spans="1:15" hidden="1" x14ac:dyDescent="0.25">
      <c r="A919" s="11" t="s">
        <v>21</v>
      </c>
      <c r="E919" s="13" t="s">
        <v>1788</v>
      </c>
      <c r="H919" s="14" t="s">
        <v>110</v>
      </c>
      <c r="I919" s="14" t="s">
        <v>110</v>
      </c>
      <c r="K919" s="15" t="s">
        <v>1789</v>
      </c>
    </row>
    <row r="920" spans="1:15" hidden="1" x14ac:dyDescent="0.25">
      <c r="A920" s="11" t="s">
        <v>21</v>
      </c>
      <c r="E920" s="13" t="s">
        <v>1788</v>
      </c>
      <c r="H920" s="14" t="s">
        <v>110</v>
      </c>
      <c r="I920" s="14" t="s">
        <v>110</v>
      </c>
      <c r="K920" s="15" t="s">
        <v>1790</v>
      </c>
    </row>
    <row r="921" spans="1:15" hidden="1" x14ac:dyDescent="0.25">
      <c r="A921" s="11" t="s">
        <v>134</v>
      </c>
      <c r="D921" s="12" t="s">
        <v>168</v>
      </c>
      <c r="G921" s="13" t="s">
        <v>169</v>
      </c>
      <c r="H921" s="14" t="s">
        <v>168</v>
      </c>
      <c r="I921" s="14" t="s">
        <v>170</v>
      </c>
      <c r="K921" s="15" t="s">
        <v>171</v>
      </c>
      <c r="O921" s="11" t="s">
        <v>172</v>
      </c>
    </row>
    <row r="922" spans="1:15" hidden="1" x14ac:dyDescent="0.25">
      <c r="A922" s="11" t="s">
        <v>134</v>
      </c>
      <c r="D922" s="12" t="s">
        <v>173</v>
      </c>
      <c r="G922" s="13" t="s">
        <v>174</v>
      </c>
      <c r="H922" s="14" t="s">
        <v>175</v>
      </c>
      <c r="I922" s="14" t="s">
        <v>176</v>
      </c>
      <c r="K922" s="15" t="s">
        <v>177</v>
      </c>
      <c r="O922" s="11" t="s">
        <v>172</v>
      </c>
    </row>
    <row r="923" spans="1:15" hidden="1" x14ac:dyDescent="0.25">
      <c r="A923" s="11" t="s">
        <v>134</v>
      </c>
      <c r="D923" s="12" t="s">
        <v>173</v>
      </c>
      <c r="G923" s="13" t="s">
        <v>178</v>
      </c>
      <c r="H923" s="14" t="s">
        <v>175</v>
      </c>
      <c r="I923" s="14" t="s">
        <v>179</v>
      </c>
      <c r="K923" s="15" t="s">
        <v>180</v>
      </c>
      <c r="O923" s="11" t="s">
        <v>172</v>
      </c>
    </row>
    <row r="924" spans="1:15" hidden="1" x14ac:dyDescent="0.25">
      <c r="A924" s="11" t="s">
        <v>134</v>
      </c>
      <c r="D924" s="12" t="s">
        <v>173</v>
      </c>
      <c r="G924" s="13" t="s">
        <v>181</v>
      </c>
      <c r="H924" s="14" t="s">
        <v>175</v>
      </c>
      <c r="I924" s="14" t="s">
        <v>182</v>
      </c>
      <c r="K924" s="15" t="s">
        <v>183</v>
      </c>
      <c r="O924" s="11" t="s">
        <v>172</v>
      </c>
    </row>
    <row r="925" spans="1:15" hidden="1" x14ac:dyDescent="0.25">
      <c r="A925" s="11" t="s">
        <v>134</v>
      </c>
      <c r="D925" s="12" t="s">
        <v>173</v>
      </c>
      <c r="G925" s="13" t="s">
        <v>184</v>
      </c>
      <c r="H925" s="14" t="s">
        <v>175</v>
      </c>
      <c r="I925" s="14" t="s">
        <v>185</v>
      </c>
      <c r="K925" s="15" t="s">
        <v>186</v>
      </c>
      <c r="O925" s="11" t="s">
        <v>172</v>
      </c>
    </row>
    <row r="926" spans="1:15" hidden="1" x14ac:dyDescent="0.25">
      <c r="A926" s="11" t="s">
        <v>134</v>
      </c>
      <c r="D926" s="12" t="s">
        <v>173</v>
      </c>
      <c r="G926" s="13" t="s">
        <v>187</v>
      </c>
      <c r="H926" s="14" t="s">
        <v>175</v>
      </c>
      <c r="I926" s="14" t="s">
        <v>188</v>
      </c>
      <c r="K926" s="15" t="s">
        <v>189</v>
      </c>
      <c r="O926" s="11" t="s">
        <v>172</v>
      </c>
    </row>
    <row r="927" spans="1:15" hidden="1" x14ac:dyDescent="0.25">
      <c r="A927" s="11" t="s">
        <v>134</v>
      </c>
      <c r="D927" s="12" t="s">
        <v>168</v>
      </c>
      <c r="G927" s="13" t="s">
        <v>193</v>
      </c>
      <c r="H927" s="14" t="s">
        <v>168</v>
      </c>
      <c r="I927" s="14" t="s">
        <v>194</v>
      </c>
      <c r="K927" s="15" t="s">
        <v>195</v>
      </c>
      <c r="O927" s="11" t="s">
        <v>172</v>
      </c>
    </row>
    <row r="928" spans="1:15" hidden="1" x14ac:dyDescent="0.25">
      <c r="A928" s="11" t="s">
        <v>134</v>
      </c>
      <c r="D928" s="12" t="s">
        <v>168</v>
      </c>
      <c r="G928" s="13" t="s">
        <v>193</v>
      </c>
      <c r="H928" s="14" t="s">
        <v>168</v>
      </c>
      <c r="I928" s="14" t="s">
        <v>194</v>
      </c>
      <c r="K928" s="15" t="s">
        <v>195</v>
      </c>
      <c r="O928" s="11" t="s">
        <v>172</v>
      </c>
    </row>
    <row r="929" spans="1:15" hidden="1" x14ac:dyDescent="0.25">
      <c r="A929" s="11" t="s">
        <v>134</v>
      </c>
      <c r="D929" s="12" t="s">
        <v>173</v>
      </c>
      <c r="G929" s="13" t="s">
        <v>196</v>
      </c>
      <c r="H929" s="14" t="s">
        <v>175</v>
      </c>
      <c r="I929" s="14" t="s">
        <v>197</v>
      </c>
      <c r="K929" s="15" t="s">
        <v>198</v>
      </c>
      <c r="O929" s="11" t="s">
        <v>172</v>
      </c>
    </row>
    <row r="930" spans="1:15" hidden="1" x14ac:dyDescent="0.25">
      <c r="A930" s="11" t="s">
        <v>134</v>
      </c>
      <c r="D930" s="12" t="s">
        <v>173</v>
      </c>
      <c r="G930" s="13" t="s">
        <v>199</v>
      </c>
      <c r="H930" s="14" t="s">
        <v>175</v>
      </c>
      <c r="I930" s="14" t="s">
        <v>200</v>
      </c>
      <c r="K930" s="15" t="s">
        <v>201</v>
      </c>
      <c r="O930" s="11" t="s">
        <v>172</v>
      </c>
    </row>
    <row r="931" spans="1:15" hidden="1" x14ac:dyDescent="0.25">
      <c r="A931" s="11" t="s">
        <v>134</v>
      </c>
      <c r="D931" s="12" t="s">
        <v>173</v>
      </c>
      <c r="G931" s="13" t="s">
        <v>202</v>
      </c>
      <c r="H931" s="14" t="s">
        <v>175</v>
      </c>
      <c r="I931" s="14" t="s">
        <v>203</v>
      </c>
      <c r="K931" s="15" t="s">
        <v>204</v>
      </c>
      <c r="O931" s="11" t="s">
        <v>172</v>
      </c>
    </row>
    <row r="932" spans="1:15" hidden="1" x14ac:dyDescent="0.25">
      <c r="A932" s="11" t="s">
        <v>134</v>
      </c>
      <c r="D932" s="12" t="s">
        <v>173</v>
      </c>
      <c r="G932" s="13" t="s">
        <v>205</v>
      </c>
      <c r="H932" s="14" t="s">
        <v>175</v>
      </c>
      <c r="I932" s="14" t="s">
        <v>206</v>
      </c>
      <c r="K932" s="15" t="s">
        <v>207</v>
      </c>
      <c r="O932" s="11" t="s">
        <v>172</v>
      </c>
    </row>
    <row r="933" spans="1:15" hidden="1" x14ac:dyDescent="0.25">
      <c r="A933" s="11" t="s">
        <v>134</v>
      </c>
      <c r="D933" s="12" t="s">
        <v>173</v>
      </c>
      <c r="G933" s="13" t="s">
        <v>208</v>
      </c>
      <c r="H933" s="14" t="s">
        <v>175</v>
      </c>
      <c r="I933" s="14" t="s">
        <v>209</v>
      </c>
      <c r="K933" s="15" t="s">
        <v>210</v>
      </c>
      <c r="O933" s="11" t="s">
        <v>172</v>
      </c>
    </row>
    <row r="934" spans="1:15" hidden="1" x14ac:dyDescent="0.25">
      <c r="A934" s="11" t="s">
        <v>134</v>
      </c>
      <c r="D934" s="12" t="s">
        <v>168</v>
      </c>
      <c r="G934" s="13" t="s">
        <v>193</v>
      </c>
      <c r="H934" s="14" t="s">
        <v>168</v>
      </c>
      <c r="I934" s="14" t="s">
        <v>194</v>
      </c>
      <c r="K934" s="15" t="s">
        <v>195</v>
      </c>
      <c r="O934" s="11" t="s">
        <v>172</v>
      </c>
    </row>
    <row r="935" spans="1:15" hidden="1" x14ac:dyDescent="0.25">
      <c r="A935" s="11" t="s">
        <v>134</v>
      </c>
      <c r="D935" s="12" t="s">
        <v>173</v>
      </c>
      <c r="G935" s="13" t="s">
        <v>214</v>
      </c>
      <c r="H935" s="14" t="s">
        <v>175</v>
      </c>
      <c r="I935" s="14" t="s">
        <v>215</v>
      </c>
      <c r="K935" s="15" t="s">
        <v>216</v>
      </c>
      <c r="O935" s="11" t="s">
        <v>172</v>
      </c>
    </row>
    <row r="936" spans="1:15" hidden="1" x14ac:dyDescent="0.25">
      <c r="A936" s="11" t="s">
        <v>134</v>
      </c>
      <c r="D936" s="12" t="s">
        <v>173</v>
      </c>
      <c r="G936" s="13" t="s">
        <v>217</v>
      </c>
      <c r="H936" s="14" t="s">
        <v>175</v>
      </c>
      <c r="I936" s="14" t="s">
        <v>218</v>
      </c>
      <c r="K936" s="15" t="s">
        <v>219</v>
      </c>
      <c r="O936" s="11" t="s">
        <v>172</v>
      </c>
    </row>
    <row r="937" spans="1:15" hidden="1" x14ac:dyDescent="0.25">
      <c r="A937" s="11" t="s">
        <v>134</v>
      </c>
      <c r="D937" s="12" t="s">
        <v>173</v>
      </c>
      <c r="G937" s="13" t="s">
        <v>220</v>
      </c>
      <c r="H937" s="14" t="s">
        <v>175</v>
      </c>
      <c r="I937" s="14" t="s">
        <v>221</v>
      </c>
      <c r="K937" s="15" t="s">
        <v>222</v>
      </c>
      <c r="O937" s="11" t="s">
        <v>172</v>
      </c>
    </row>
    <row r="938" spans="1:15" hidden="1" x14ac:dyDescent="0.25">
      <c r="A938" s="11" t="s">
        <v>134</v>
      </c>
      <c r="D938" s="12" t="s">
        <v>173</v>
      </c>
      <c r="G938" s="13" t="s">
        <v>223</v>
      </c>
      <c r="H938" s="14" t="s">
        <v>175</v>
      </c>
      <c r="I938" s="14" t="s">
        <v>224</v>
      </c>
      <c r="K938" s="15" t="s">
        <v>225</v>
      </c>
      <c r="O938" s="11" t="s">
        <v>172</v>
      </c>
    </row>
    <row r="939" spans="1:15" hidden="1" x14ac:dyDescent="0.25">
      <c r="A939" s="11" t="s">
        <v>134</v>
      </c>
      <c r="D939" s="12" t="s">
        <v>173</v>
      </c>
      <c r="G939" s="13" t="s">
        <v>226</v>
      </c>
      <c r="H939" s="14" t="s">
        <v>175</v>
      </c>
      <c r="I939" s="14" t="s">
        <v>227</v>
      </c>
      <c r="K939" s="15" t="s">
        <v>228</v>
      </c>
      <c r="O939" s="11" t="s">
        <v>172</v>
      </c>
    </row>
    <row r="940" spans="1:15" hidden="1" x14ac:dyDescent="0.25">
      <c r="A940" s="11" t="s">
        <v>134</v>
      </c>
      <c r="D940" s="12" t="s">
        <v>173</v>
      </c>
      <c r="G940" s="13" t="s">
        <v>229</v>
      </c>
      <c r="H940" s="14" t="s">
        <v>175</v>
      </c>
      <c r="I940" s="14" t="s">
        <v>230</v>
      </c>
      <c r="K940" s="15" t="s">
        <v>231</v>
      </c>
      <c r="O940" s="11" t="s">
        <v>172</v>
      </c>
    </row>
    <row r="941" spans="1:15" hidden="1" x14ac:dyDescent="0.25">
      <c r="A941" s="11" t="s">
        <v>134</v>
      </c>
      <c r="D941" s="12" t="s">
        <v>168</v>
      </c>
      <c r="G941" s="13" t="s">
        <v>193</v>
      </c>
      <c r="H941" s="14" t="s">
        <v>168</v>
      </c>
      <c r="I941" s="14" t="s">
        <v>194</v>
      </c>
      <c r="K941" s="15" t="s">
        <v>195</v>
      </c>
      <c r="O941" s="11" t="s">
        <v>3263</v>
      </c>
    </row>
    <row r="942" spans="1:15" hidden="1" x14ac:dyDescent="0.25">
      <c r="A942" s="11" t="s">
        <v>134</v>
      </c>
      <c r="D942" s="12" t="s">
        <v>173</v>
      </c>
      <c r="G942" s="13" t="s">
        <v>235</v>
      </c>
      <c r="H942" s="14" t="s">
        <v>175</v>
      </c>
      <c r="I942" s="14" t="s">
        <v>236</v>
      </c>
      <c r="K942" s="15" t="s">
        <v>237</v>
      </c>
      <c r="O942" s="11" t="s">
        <v>172</v>
      </c>
    </row>
    <row r="943" spans="1:15" hidden="1" x14ac:dyDescent="0.25">
      <c r="A943" s="11" t="s">
        <v>134</v>
      </c>
      <c r="D943" s="12" t="s">
        <v>173</v>
      </c>
      <c r="G943" s="13" t="s">
        <v>238</v>
      </c>
      <c r="H943" s="14" t="s">
        <v>175</v>
      </c>
      <c r="I943" s="14" t="s">
        <v>239</v>
      </c>
      <c r="K943" s="15" t="s">
        <v>240</v>
      </c>
      <c r="O943" s="11" t="s">
        <v>172</v>
      </c>
    </row>
    <row r="944" spans="1:15" hidden="1" x14ac:dyDescent="0.25">
      <c r="A944" s="11" t="s">
        <v>134</v>
      </c>
      <c r="D944" s="12" t="s">
        <v>173</v>
      </c>
      <c r="G944" s="13" t="s">
        <v>241</v>
      </c>
      <c r="H944" s="14" t="s">
        <v>175</v>
      </c>
      <c r="I944" s="14" t="s">
        <v>242</v>
      </c>
      <c r="K944" s="15" t="s">
        <v>243</v>
      </c>
      <c r="O944" s="11" t="s">
        <v>172</v>
      </c>
    </row>
    <row r="945" spans="1:15" hidden="1" x14ac:dyDescent="0.25">
      <c r="A945" s="11" t="s">
        <v>134</v>
      </c>
      <c r="D945" s="12" t="s">
        <v>173</v>
      </c>
      <c r="G945" s="13" t="s">
        <v>244</v>
      </c>
      <c r="H945" s="14" t="s">
        <v>175</v>
      </c>
      <c r="I945" s="14" t="s">
        <v>245</v>
      </c>
      <c r="K945" s="15" t="s">
        <v>246</v>
      </c>
      <c r="O945" s="11" t="s">
        <v>172</v>
      </c>
    </row>
    <row r="946" spans="1:15" hidden="1" x14ac:dyDescent="0.25">
      <c r="A946" s="11" t="s">
        <v>134</v>
      </c>
      <c r="D946" s="12" t="s">
        <v>173</v>
      </c>
      <c r="G946" s="13" t="s">
        <v>247</v>
      </c>
      <c r="H946" s="14" t="s">
        <v>175</v>
      </c>
      <c r="I946" s="14" t="s">
        <v>248</v>
      </c>
      <c r="K946" s="15" t="s">
        <v>249</v>
      </c>
      <c r="O946" s="11" t="s">
        <v>172</v>
      </c>
    </row>
    <row r="947" spans="1:15" hidden="1" x14ac:dyDescent="0.25">
      <c r="A947" s="11" t="s">
        <v>134</v>
      </c>
      <c r="D947" s="12" t="s">
        <v>173</v>
      </c>
      <c r="G947" s="13" t="s">
        <v>250</v>
      </c>
      <c r="H947" s="14" t="s">
        <v>175</v>
      </c>
      <c r="I947" s="14" t="s">
        <v>251</v>
      </c>
      <c r="K947" s="15" t="s">
        <v>252</v>
      </c>
      <c r="O947" s="11" t="s">
        <v>172</v>
      </c>
    </row>
    <row r="948" spans="1:15" hidden="1" x14ac:dyDescent="0.25">
      <c r="A948" s="11" t="s">
        <v>134</v>
      </c>
      <c r="D948" s="12" t="s">
        <v>168</v>
      </c>
      <c r="G948" s="13" t="s">
        <v>193</v>
      </c>
      <c r="H948" s="14" t="s">
        <v>168</v>
      </c>
      <c r="I948" s="14" t="s">
        <v>194</v>
      </c>
      <c r="K948" s="15" t="s">
        <v>195</v>
      </c>
      <c r="O948" s="11" t="s">
        <v>172</v>
      </c>
    </row>
    <row r="949" spans="1:15" hidden="1" x14ac:dyDescent="0.25">
      <c r="A949" s="11" t="s">
        <v>134</v>
      </c>
      <c r="D949" s="12" t="s">
        <v>173</v>
      </c>
      <c r="G949" s="13" t="s">
        <v>256</v>
      </c>
      <c r="H949" s="14" t="s">
        <v>175</v>
      </c>
      <c r="I949" s="14" t="s">
        <v>257</v>
      </c>
      <c r="K949" s="15" t="s">
        <v>258</v>
      </c>
      <c r="O949" s="11" t="s">
        <v>172</v>
      </c>
    </row>
    <row r="950" spans="1:15" hidden="1" x14ac:dyDescent="0.25">
      <c r="A950" s="11" t="s">
        <v>134</v>
      </c>
      <c r="D950" s="12" t="s">
        <v>173</v>
      </c>
      <c r="G950" s="13" t="s">
        <v>259</v>
      </c>
      <c r="H950" s="14" t="s">
        <v>175</v>
      </c>
      <c r="I950" s="14" t="s">
        <v>260</v>
      </c>
      <c r="K950" s="15" t="s">
        <v>261</v>
      </c>
      <c r="O950" s="11" t="s">
        <v>172</v>
      </c>
    </row>
    <row r="951" spans="1:15" hidden="1" x14ac:dyDescent="0.25">
      <c r="A951" s="11" t="s">
        <v>134</v>
      </c>
      <c r="D951" s="12" t="s">
        <v>173</v>
      </c>
      <c r="G951" s="13" t="s">
        <v>262</v>
      </c>
      <c r="H951" s="14" t="s">
        <v>175</v>
      </c>
      <c r="I951" s="14" t="s">
        <v>263</v>
      </c>
      <c r="K951" s="15" t="s">
        <v>264</v>
      </c>
      <c r="O951" s="11" t="s">
        <v>172</v>
      </c>
    </row>
    <row r="952" spans="1:15" hidden="1" x14ac:dyDescent="0.25">
      <c r="A952" s="11" t="s">
        <v>134</v>
      </c>
      <c r="D952" s="12" t="s">
        <v>173</v>
      </c>
      <c r="G952" s="13" t="s">
        <v>265</v>
      </c>
      <c r="H952" s="14" t="s">
        <v>175</v>
      </c>
      <c r="I952" s="14" t="s">
        <v>266</v>
      </c>
      <c r="K952" s="15" t="s">
        <v>267</v>
      </c>
      <c r="O952" s="11" t="s">
        <v>172</v>
      </c>
    </row>
    <row r="953" spans="1:15" hidden="1" x14ac:dyDescent="0.25">
      <c r="A953" s="11" t="s">
        <v>134</v>
      </c>
      <c r="D953" s="12" t="s">
        <v>173</v>
      </c>
      <c r="G953" s="13" t="s">
        <v>268</v>
      </c>
      <c r="H953" s="14" t="s">
        <v>175</v>
      </c>
      <c r="I953" s="14" t="s">
        <v>269</v>
      </c>
      <c r="K953" s="15" t="s">
        <v>270</v>
      </c>
      <c r="O953" s="11" t="s">
        <v>172</v>
      </c>
    </row>
    <row r="954" spans="1:15" hidden="1" x14ac:dyDescent="0.25">
      <c r="A954" s="11" t="s">
        <v>134</v>
      </c>
      <c r="D954" s="12" t="s">
        <v>173</v>
      </c>
      <c r="G954" s="13" t="s">
        <v>271</v>
      </c>
      <c r="H954" s="14" t="s">
        <v>175</v>
      </c>
      <c r="I954" s="14" t="s">
        <v>272</v>
      </c>
      <c r="K954" s="15" t="s">
        <v>273</v>
      </c>
      <c r="O954" s="11" t="s">
        <v>172</v>
      </c>
    </row>
    <row r="955" spans="1:15" hidden="1" x14ac:dyDescent="0.25">
      <c r="A955" s="11" t="s">
        <v>2</v>
      </c>
      <c r="D955" s="12" t="s">
        <v>275</v>
      </c>
      <c r="G955" s="13" t="s">
        <v>276</v>
      </c>
      <c r="H955" s="14" t="s">
        <v>277</v>
      </c>
      <c r="I955" s="14" t="s">
        <v>278</v>
      </c>
      <c r="K955" s="15" t="s">
        <v>279</v>
      </c>
      <c r="O955" s="11" t="s">
        <v>172</v>
      </c>
    </row>
    <row r="956" spans="1:15" hidden="1" x14ac:dyDescent="0.25">
      <c r="A956" s="11" t="s">
        <v>2</v>
      </c>
      <c r="D956" s="12" t="s">
        <v>275</v>
      </c>
      <c r="G956" s="13" t="s">
        <v>280</v>
      </c>
      <c r="H956" s="14" t="s">
        <v>277</v>
      </c>
      <c r="I956" s="14" t="s">
        <v>281</v>
      </c>
      <c r="K956" s="15" t="s">
        <v>282</v>
      </c>
      <c r="O956" s="11" t="s">
        <v>172</v>
      </c>
    </row>
    <row r="957" spans="1:15" hidden="1" x14ac:dyDescent="0.25">
      <c r="A957" s="11" t="s">
        <v>134</v>
      </c>
      <c r="B957" s="11" t="s">
        <v>134</v>
      </c>
      <c r="C957" s="12" t="s">
        <v>2</v>
      </c>
      <c r="D957" s="12" t="s">
        <v>2</v>
      </c>
      <c r="E957" s="13" t="s">
        <v>2</v>
      </c>
      <c r="F957" s="111" t="s">
        <v>2</v>
      </c>
      <c r="G957" s="13" t="s">
        <v>2</v>
      </c>
      <c r="H957" s="14" t="s">
        <v>2</v>
      </c>
      <c r="I957" s="14" t="s">
        <v>23</v>
      </c>
      <c r="J957" s="12" t="s">
        <v>21</v>
      </c>
      <c r="K957" s="15" t="s">
        <v>21</v>
      </c>
      <c r="L957" s="16" t="s">
        <v>21</v>
      </c>
      <c r="M957" s="16" t="s">
        <v>21</v>
      </c>
      <c r="N957" s="58" t="s">
        <v>23</v>
      </c>
      <c r="O957" s="11" t="s">
        <v>23</v>
      </c>
    </row>
    <row r="958" spans="1:15" hidden="1" x14ac:dyDescent="0.25">
      <c r="A958" s="11" t="e">
        <v>#N/A</v>
      </c>
      <c r="B958" s="11" t="e">
        <v>#N/A</v>
      </c>
      <c r="C958" s="12" t="e">
        <v>#N/A</v>
      </c>
      <c r="D958" s="12" t="e">
        <v>#N/A</v>
      </c>
      <c r="E958" s="13" t="e">
        <v>#N/A</v>
      </c>
      <c r="F958" s="111" t="e">
        <v>#N/A</v>
      </c>
      <c r="G958" s="13" t="e">
        <v>#N/A</v>
      </c>
      <c r="H958" s="14" t="e">
        <v>#N/A</v>
      </c>
      <c r="I958" s="14" t="e">
        <v>#N/A</v>
      </c>
      <c r="J958" s="12" t="e">
        <v>#N/A</v>
      </c>
      <c r="K958" s="15" t="e">
        <v>#N/A</v>
      </c>
      <c r="L958" s="16" t="e">
        <v>#N/A</v>
      </c>
      <c r="M958" s="16" t="e">
        <v>#N/A</v>
      </c>
      <c r="N958" s="58" t="e">
        <v>#N/A</v>
      </c>
      <c r="O958" s="11" t="e">
        <v>#N/A</v>
      </c>
    </row>
    <row r="959" spans="1:15" hidden="1" x14ac:dyDescent="0.25">
      <c r="A959" s="11" t="s">
        <v>2</v>
      </c>
      <c r="D959" s="12" t="s">
        <v>284</v>
      </c>
      <c r="G959" s="13" t="s">
        <v>285</v>
      </c>
      <c r="H959" s="14" t="s">
        <v>283</v>
      </c>
      <c r="I959" s="14" t="s">
        <v>286</v>
      </c>
      <c r="K959" s="15" t="s">
        <v>287</v>
      </c>
      <c r="O959" s="11" t="s">
        <v>172</v>
      </c>
    </row>
    <row r="960" spans="1:15" hidden="1" x14ac:dyDescent="0.25">
      <c r="A960" s="11" t="s">
        <v>2</v>
      </c>
      <c r="D960" s="12" t="s">
        <v>288</v>
      </c>
      <c r="G960" s="13" t="s">
        <v>289</v>
      </c>
      <c r="H960" s="14" t="s">
        <v>283</v>
      </c>
      <c r="I960" s="14" t="s">
        <v>290</v>
      </c>
      <c r="K960" s="15" t="s">
        <v>291</v>
      </c>
      <c r="O960" s="11" t="s">
        <v>172</v>
      </c>
    </row>
    <row r="961" spans="1:15" hidden="1" x14ac:dyDescent="0.25">
      <c r="A961" s="11" t="e">
        <v>#N/A</v>
      </c>
      <c r="B961" s="11" t="e">
        <v>#N/A</v>
      </c>
      <c r="C961" s="12" t="e">
        <v>#N/A</v>
      </c>
      <c r="D961" s="12" t="e">
        <v>#N/A</v>
      </c>
      <c r="E961" s="13" t="e">
        <v>#N/A</v>
      </c>
      <c r="F961" s="111" t="e">
        <v>#N/A</v>
      </c>
      <c r="G961" s="13" t="e">
        <v>#N/A</v>
      </c>
      <c r="H961" s="14" t="e">
        <v>#N/A</v>
      </c>
      <c r="I961" s="14" t="e">
        <v>#N/A</v>
      </c>
      <c r="J961" s="12" t="e">
        <v>#N/A</v>
      </c>
      <c r="K961" s="15" t="e">
        <v>#N/A</v>
      </c>
      <c r="L961" s="16" t="e">
        <v>#N/A</v>
      </c>
      <c r="M961" s="16" t="e">
        <v>#N/A</v>
      </c>
      <c r="N961" s="58" t="e">
        <v>#N/A</v>
      </c>
      <c r="O961" s="11" t="e">
        <v>#N/A</v>
      </c>
    </row>
    <row r="962" spans="1:15" hidden="1" x14ac:dyDescent="0.25">
      <c r="A962" s="11" t="s">
        <v>2</v>
      </c>
      <c r="D962" s="12" t="s">
        <v>292</v>
      </c>
      <c r="G962" s="13" t="s">
        <v>293</v>
      </c>
      <c r="H962" s="14" t="s">
        <v>283</v>
      </c>
      <c r="I962" s="14" t="s">
        <v>294</v>
      </c>
      <c r="K962" s="15" t="s">
        <v>295</v>
      </c>
      <c r="O962" s="11" t="s">
        <v>172</v>
      </c>
    </row>
    <row r="963" spans="1:15" hidden="1" x14ac:dyDescent="0.25">
      <c r="A963" s="11" t="s">
        <v>2</v>
      </c>
      <c r="D963" s="12" t="s">
        <v>296</v>
      </c>
      <c r="G963" s="13" t="s">
        <v>297</v>
      </c>
      <c r="H963" s="14" t="s">
        <v>283</v>
      </c>
      <c r="I963" s="14" t="s">
        <v>298</v>
      </c>
      <c r="K963" s="15" t="s">
        <v>299</v>
      </c>
      <c r="O963" s="11" t="s">
        <v>172</v>
      </c>
    </row>
    <row r="964" spans="1:15" hidden="1" x14ac:dyDescent="0.25">
      <c r="A964" s="11" t="s">
        <v>2</v>
      </c>
      <c r="D964" s="12" t="s">
        <v>300</v>
      </c>
      <c r="G964" s="13" t="s">
        <v>301</v>
      </c>
      <c r="H964" s="14" t="s">
        <v>283</v>
      </c>
      <c r="I964" s="14" t="s">
        <v>302</v>
      </c>
      <c r="K964" s="15" t="s">
        <v>303</v>
      </c>
      <c r="O964" s="11" t="s">
        <v>172</v>
      </c>
    </row>
    <row r="965" spans="1:15" hidden="1" x14ac:dyDescent="0.25">
      <c r="A965" s="11" t="s">
        <v>2</v>
      </c>
      <c r="D965" s="12" t="s">
        <v>275</v>
      </c>
      <c r="G965" s="13" t="s">
        <v>304</v>
      </c>
      <c r="H965" s="14" t="s">
        <v>277</v>
      </c>
      <c r="I965" s="14" t="s">
        <v>305</v>
      </c>
      <c r="K965" s="15" t="s">
        <v>306</v>
      </c>
      <c r="O965" s="11" t="s">
        <v>172</v>
      </c>
    </row>
    <row r="966" spans="1:15" hidden="1" x14ac:dyDescent="0.25">
      <c r="A966" s="11" t="s">
        <v>2</v>
      </c>
      <c r="D966" s="12" t="s">
        <v>275</v>
      </c>
      <c r="G966" s="13" t="s">
        <v>307</v>
      </c>
      <c r="H966" s="14" t="s">
        <v>277</v>
      </c>
      <c r="I966" s="14" t="s">
        <v>308</v>
      </c>
      <c r="K966" s="15" t="s">
        <v>309</v>
      </c>
      <c r="O966" s="11" t="s">
        <v>172</v>
      </c>
    </row>
    <row r="967" spans="1:15" hidden="1" x14ac:dyDescent="0.25">
      <c r="A967" s="11" t="s">
        <v>2</v>
      </c>
      <c r="D967" s="12" t="s">
        <v>310</v>
      </c>
      <c r="G967" s="13" t="s">
        <v>311</v>
      </c>
      <c r="H967" s="14" t="s">
        <v>283</v>
      </c>
      <c r="I967" s="14" t="s">
        <v>312</v>
      </c>
      <c r="K967" s="15" t="s">
        <v>313</v>
      </c>
      <c r="O967" s="11" t="s">
        <v>172</v>
      </c>
    </row>
    <row r="968" spans="1:15" hidden="1" x14ac:dyDescent="0.25">
      <c r="A968" s="11" t="s">
        <v>2</v>
      </c>
      <c r="D968" s="12" t="s">
        <v>314</v>
      </c>
      <c r="G968" s="13" t="s">
        <v>315</v>
      </c>
      <c r="H968" s="14" t="s">
        <v>283</v>
      </c>
      <c r="I968" s="14" t="s">
        <v>316</v>
      </c>
      <c r="K968" s="15" t="s">
        <v>317</v>
      </c>
      <c r="O968" s="11" t="s">
        <v>172</v>
      </c>
    </row>
    <row r="969" spans="1:15" hidden="1" x14ac:dyDescent="0.25">
      <c r="A969" s="11" t="s">
        <v>2</v>
      </c>
      <c r="D969" s="12" t="s">
        <v>318</v>
      </c>
      <c r="G969" s="13" t="s">
        <v>319</v>
      </c>
      <c r="H969" s="14" t="s">
        <v>283</v>
      </c>
      <c r="I969" s="14" t="s">
        <v>320</v>
      </c>
      <c r="K969" s="15" t="s">
        <v>321</v>
      </c>
      <c r="O969" s="11" t="s">
        <v>172</v>
      </c>
    </row>
    <row r="970" spans="1:15" hidden="1" x14ac:dyDescent="0.25">
      <c r="A970" s="11" t="s">
        <v>2</v>
      </c>
      <c r="D970" s="12" t="s">
        <v>322</v>
      </c>
      <c r="G970" s="13" t="s">
        <v>323</v>
      </c>
      <c r="H970" s="14" t="s">
        <v>283</v>
      </c>
      <c r="I970" s="14" t="s">
        <v>324</v>
      </c>
      <c r="K970" s="15" t="s">
        <v>325</v>
      </c>
      <c r="O970" s="11" t="s">
        <v>172</v>
      </c>
    </row>
    <row r="971" spans="1:15" hidden="1" x14ac:dyDescent="0.25">
      <c r="A971" s="11" t="s">
        <v>2</v>
      </c>
      <c r="D971" s="12" t="s">
        <v>326</v>
      </c>
      <c r="G971" s="13" t="s">
        <v>327</v>
      </c>
      <c r="H971" s="14" t="s">
        <v>283</v>
      </c>
      <c r="I971" s="14" t="s">
        <v>328</v>
      </c>
      <c r="K971" s="15" t="s">
        <v>329</v>
      </c>
      <c r="O971" s="11" t="s">
        <v>172</v>
      </c>
    </row>
    <row r="972" spans="1:15" hidden="1" x14ac:dyDescent="0.25">
      <c r="A972" s="11" t="s">
        <v>2</v>
      </c>
      <c r="D972" s="12" t="s">
        <v>330</v>
      </c>
      <c r="G972" s="13" t="s">
        <v>331</v>
      </c>
      <c r="H972" s="14" t="s">
        <v>283</v>
      </c>
      <c r="I972" s="14" t="s">
        <v>332</v>
      </c>
      <c r="K972" s="15" t="s">
        <v>333</v>
      </c>
      <c r="O972" s="11" t="s">
        <v>172</v>
      </c>
    </row>
    <row r="973" spans="1:15" hidden="1" x14ac:dyDescent="0.25">
      <c r="A973" s="11" t="s">
        <v>2</v>
      </c>
      <c r="D973" s="12" t="s">
        <v>296</v>
      </c>
      <c r="G973" s="13" t="s">
        <v>334</v>
      </c>
      <c r="H973" s="14" t="s">
        <v>283</v>
      </c>
      <c r="I973" s="14" t="s">
        <v>335</v>
      </c>
      <c r="K973" s="15" t="s">
        <v>336</v>
      </c>
      <c r="O973" s="11" t="s">
        <v>172</v>
      </c>
    </row>
    <row r="974" spans="1:15" hidden="1" x14ac:dyDescent="0.25">
      <c r="A974" s="11" t="s">
        <v>2</v>
      </c>
      <c r="D974" s="12" t="s">
        <v>337</v>
      </c>
      <c r="G974" s="13" t="s">
        <v>338</v>
      </c>
      <c r="H974" s="14" t="s">
        <v>283</v>
      </c>
      <c r="I974" s="14" t="s">
        <v>339</v>
      </c>
      <c r="K974" s="15" t="s">
        <v>340</v>
      </c>
      <c r="O974" s="11" t="s">
        <v>172</v>
      </c>
    </row>
    <row r="975" spans="1:15" hidden="1" x14ac:dyDescent="0.25">
      <c r="A975" s="11" t="s">
        <v>2</v>
      </c>
      <c r="D975" s="12" t="s">
        <v>275</v>
      </c>
      <c r="G975" s="13" t="s">
        <v>341</v>
      </c>
      <c r="H975" s="14" t="s">
        <v>277</v>
      </c>
      <c r="I975" s="14" t="s">
        <v>342</v>
      </c>
      <c r="K975" s="15" t="s">
        <v>343</v>
      </c>
      <c r="O975" s="11" t="s">
        <v>172</v>
      </c>
    </row>
    <row r="976" spans="1:15" hidden="1" x14ac:dyDescent="0.25">
      <c r="A976" s="11" t="s">
        <v>2</v>
      </c>
      <c r="H976" s="14" t="s">
        <v>110</v>
      </c>
      <c r="I976" s="14" t="s">
        <v>110</v>
      </c>
      <c r="K976" s="15" t="s">
        <v>344</v>
      </c>
    </row>
    <row r="977" spans="1:15" hidden="1" x14ac:dyDescent="0.25">
      <c r="A977" s="11" t="s">
        <v>2</v>
      </c>
      <c r="D977" s="12" t="s">
        <v>310</v>
      </c>
      <c r="G977" s="13" t="s">
        <v>345</v>
      </c>
      <c r="H977" s="14" t="s">
        <v>283</v>
      </c>
      <c r="I977" s="14" t="s">
        <v>346</v>
      </c>
      <c r="K977" s="15" t="s">
        <v>347</v>
      </c>
      <c r="O977" s="11" t="s">
        <v>172</v>
      </c>
    </row>
    <row r="978" spans="1:15" hidden="1" x14ac:dyDescent="0.25">
      <c r="A978" s="11" t="e">
        <v>#N/A</v>
      </c>
      <c r="B978" s="11" t="e">
        <v>#N/A</v>
      </c>
      <c r="C978" s="12" t="e">
        <v>#N/A</v>
      </c>
      <c r="D978" s="12" t="e">
        <v>#N/A</v>
      </c>
      <c r="E978" s="13" t="e">
        <v>#N/A</v>
      </c>
      <c r="F978" s="111" t="e">
        <v>#N/A</v>
      </c>
      <c r="G978" s="13" t="e">
        <v>#N/A</v>
      </c>
      <c r="H978" s="14" t="e">
        <v>#N/A</v>
      </c>
      <c r="I978" s="14" t="e">
        <v>#N/A</v>
      </c>
      <c r="J978" s="12" t="e">
        <v>#N/A</v>
      </c>
      <c r="K978" s="15" t="e">
        <v>#N/A</v>
      </c>
      <c r="L978" s="16" t="e">
        <v>#N/A</v>
      </c>
      <c r="M978" s="16" t="e">
        <v>#N/A</v>
      </c>
      <c r="N978" s="58" t="e">
        <v>#N/A</v>
      </c>
      <c r="O978" s="11" t="e">
        <v>#N/A</v>
      </c>
    </row>
    <row r="979" spans="1:15" hidden="1" x14ac:dyDescent="0.25">
      <c r="A979" s="11" t="s">
        <v>2</v>
      </c>
      <c r="D979" s="12" t="s">
        <v>348</v>
      </c>
      <c r="G979" s="13" t="s">
        <v>349</v>
      </c>
      <c r="H979" s="14" t="s">
        <v>283</v>
      </c>
      <c r="I979" s="14" t="s">
        <v>350</v>
      </c>
      <c r="K979" s="15" t="s">
        <v>351</v>
      </c>
      <c r="O979" s="11" t="s">
        <v>172</v>
      </c>
    </row>
    <row r="980" spans="1:15" hidden="1" x14ac:dyDescent="0.25">
      <c r="A980" s="11" t="s">
        <v>2</v>
      </c>
      <c r="D980" s="12" t="s">
        <v>352</v>
      </c>
      <c r="G980" s="13" t="s">
        <v>353</v>
      </c>
      <c r="H980" s="14" t="s">
        <v>283</v>
      </c>
      <c r="I980" s="14" t="s">
        <v>354</v>
      </c>
      <c r="K980" s="15" t="s">
        <v>355</v>
      </c>
      <c r="O980" s="11" t="s">
        <v>172</v>
      </c>
    </row>
    <row r="981" spans="1:15" hidden="1" x14ac:dyDescent="0.25">
      <c r="A981" s="11" t="s">
        <v>2</v>
      </c>
      <c r="D981" s="12" t="s">
        <v>356</v>
      </c>
      <c r="G981" s="13" t="s">
        <v>357</v>
      </c>
      <c r="H981" s="14" t="s">
        <v>358</v>
      </c>
      <c r="I981" s="14" t="s">
        <v>359</v>
      </c>
      <c r="K981" s="15" t="s">
        <v>360</v>
      </c>
      <c r="O981" s="11" t="s">
        <v>172</v>
      </c>
    </row>
    <row r="982" spans="1:15" hidden="1" x14ac:dyDescent="0.25">
      <c r="A982" s="11" t="s">
        <v>2</v>
      </c>
      <c r="D982" s="12" t="s">
        <v>361</v>
      </c>
      <c r="G982" s="13" t="s">
        <v>362</v>
      </c>
      <c r="H982" s="14" t="s">
        <v>283</v>
      </c>
      <c r="I982" s="14" t="s">
        <v>363</v>
      </c>
      <c r="K982" s="15" t="s">
        <v>364</v>
      </c>
      <c r="O982" s="11" t="s">
        <v>172</v>
      </c>
    </row>
    <row r="983" spans="1:15" hidden="1" x14ac:dyDescent="0.25">
      <c r="A983" s="11" t="s">
        <v>2</v>
      </c>
      <c r="D983" s="12" t="s">
        <v>365</v>
      </c>
      <c r="G983" s="13" t="s">
        <v>366</v>
      </c>
      <c r="H983" s="14" t="s">
        <v>283</v>
      </c>
      <c r="I983" s="14" t="s">
        <v>367</v>
      </c>
      <c r="K983" s="15" t="s">
        <v>368</v>
      </c>
      <c r="O983" s="11" t="s">
        <v>172</v>
      </c>
    </row>
    <row r="984" spans="1:15" hidden="1" x14ac:dyDescent="0.25">
      <c r="A984" s="11" t="s">
        <v>2</v>
      </c>
      <c r="D984" s="12" t="s">
        <v>369</v>
      </c>
      <c r="G984" s="13" t="s">
        <v>370</v>
      </c>
      <c r="H984" s="14" t="s">
        <v>283</v>
      </c>
      <c r="I984" s="14" t="s">
        <v>371</v>
      </c>
      <c r="K984" s="15" t="s">
        <v>372</v>
      </c>
      <c r="O984" s="11" t="s">
        <v>172</v>
      </c>
    </row>
    <row r="985" spans="1:15" hidden="1" x14ac:dyDescent="0.25">
      <c r="A985" s="11" t="s">
        <v>2</v>
      </c>
      <c r="D985" s="12" t="s">
        <v>275</v>
      </c>
      <c r="G985" s="13" t="s">
        <v>373</v>
      </c>
      <c r="H985" s="14" t="s">
        <v>277</v>
      </c>
      <c r="I985" s="14" t="s">
        <v>374</v>
      </c>
      <c r="K985" s="15" t="s">
        <v>375</v>
      </c>
      <c r="O985" s="11" t="s">
        <v>172</v>
      </c>
    </row>
    <row r="986" spans="1:15" hidden="1" x14ac:dyDescent="0.25">
      <c r="A986" s="11" t="s">
        <v>2</v>
      </c>
      <c r="H986" s="14" t="s">
        <v>110</v>
      </c>
      <c r="I986" s="14" t="s">
        <v>110</v>
      </c>
      <c r="K986" s="15" t="s">
        <v>376</v>
      </c>
    </row>
    <row r="987" spans="1:15" hidden="1" x14ac:dyDescent="0.25">
      <c r="A987" s="11" t="e">
        <v>#N/A</v>
      </c>
      <c r="B987" s="11" t="e">
        <v>#N/A</v>
      </c>
      <c r="C987" s="12" t="e">
        <v>#N/A</v>
      </c>
      <c r="D987" s="12" t="e">
        <v>#N/A</v>
      </c>
      <c r="E987" s="13" t="e">
        <v>#N/A</v>
      </c>
      <c r="F987" s="111" t="e">
        <v>#N/A</v>
      </c>
      <c r="G987" s="13" t="e">
        <v>#N/A</v>
      </c>
      <c r="H987" s="14" t="e">
        <v>#N/A</v>
      </c>
      <c r="I987" s="14" t="e">
        <v>#N/A</v>
      </c>
      <c r="J987" s="12" t="e">
        <v>#N/A</v>
      </c>
      <c r="K987" s="15" t="e">
        <v>#N/A</v>
      </c>
      <c r="L987" s="16" t="e">
        <v>#N/A</v>
      </c>
      <c r="M987" s="16" t="e">
        <v>#N/A</v>
      </c>
      <c r="N987" s="58" t="e">
        <v>#N/A</v>
      </c>
      <c r="O987" s="11" t="e">
        <v>#N/A</v>
      </c>
    </row>
    <row r="988" spans="1:15" hidden="1" x14ac:dyDescent="0.25">
      <c r="A988" s="11" t="s">
        <v>2</v>
      </c>
      <c r="D988" s="12" t="s">
        <v>377</v>
      </c>
      <c r="G988" s="13" t="s">
        <v>378</v>
      </c>
      <c r="H988" s="14" t="s">
        <v>283</v>
      </c>
      <c r="I988" s="14" t="s">
        <v>379</v>
      </c>
      <c r="K988" s="15" t="s">
        <v>380</v>
      </c>
      <c r="O988" s="11" t="s">
        <v>172</v>
      </c>
    </row>
    <row r="989" spans="1:15" hidden="1" x14ac:dyDescent="0.25">
      <c r="A989" s="11" t="s">
        <v>2</v>
      </c>
      <c r="D989" s="12" t="s">
        <v>348</v>
      </c>
      <c r="G989" s="13" t="s">
        <v>381</v>
      </c>
      <c r="H989" s="14" t="s">
        <v>283</v>
      </c>
      <c r="I989" s="14" t="s">
        <v>382</v>
      </c>
      <c r="K989" s="15" t="s">
        <v>383</v>
      </c>
      <c r="O989" s="11" t="s">
        <v>172</v>
      </c>
    </row>
    <row r="990" spans="1:15" hidden="1" x14ac:dyDescent="0.25">
      <c r="A990" s="11" t="s">
        <v>2</v>
      </c>
      <c r="D990" s="12" t="s">
        <v>384</v>
      </c>
      <c r="G990" s="13" t="s">
        <v>385</v>
      </c>
      <c r="H990" s="14" t="s">
        <v>283</v>
      </c>
      <c r="I990" s="14" t="s">
        <v>386</v>
      </c>
      <c r="K990" s="15" t="s">
        <v>387</v>
      </c>
      <c r="O990" s="11" t="s">
        <v>172</v>
      </c>
    </row>
    <row r="991" spans="1:15" hidden="1" x14ac:dyDescent="0.25">
      <c r="A991" s="11" t="s">
        <v>2</v>
      </c>
      <c r="D991" s="12" t="s">
        <v>388</v>
      </c>
      <c r="G991" s="13" t="s">
        <v>389</v>
      </c>
      <c r="H991" s="14" t="s">
        <v>283</v>
      </c>
      <c r="I991" s="14" t="s">
        <v>390</v>
      </c>
      <c r="K991" s="15" t="s">
        <v>391</v>
      </c>
      <c r="O991" s="11" t="s">
        <v>172</v>
      </c>
    </row>
    <row r="992" spans="1:15" hidden="1" x14ac:dyDescent="0.25">
      <c r="A992" s="11" t="e">
        <v>#N/A</v>
      </c>
      <c r="B992" s="11" t="e">
        <v>#N/A</v>
      </c>
      <c r="C992" s="12" t="e">
        <v>#N/A</v>
      </c>
      <c r="D992" s="12" t="e">
        <v>#N/A</v>
      </c>
      <c r="E992" s="13" t="e">
        <v>#N/A</v>
      </c>
      <c r="F992" s="111" t="e">
        <v>#N/A</v>
      </c>
      <c r="G992" s="13" t="e">
        <v>#N/A</v>
      </c>
      <c r="H992" s="14" t="e">
        <v>#N/A</v>
      </c>
      <c r="I992" s="14" t="e">
        <v>#N/A</v>
      </c>
      <c r="J992" s="12" t="e">
        <v>#N/A</v>
      </c>
      <c r="K992" s="15" t="e">
        <v>#N/A</v>
      </c>
      <c r="L992" s="16" t="e">
        <v>#N/A</v>
      </c>
      <c r="M992" s="16" t="e">
        <v>#N/A</v>
      </c>
      <c r="N992" s="58" t="e">
        <v>#N/A</v>
      </c>
      <c r="O992" s="11" t="e">
        <v>#N/A</v>
      </c>
    </row>
    <row r="993" spans="1:15" hidden="1" x14ac:dyDescent="0.25">
      <c r="A993" s="11" t="s">
        <v>2</v>
      </c>
      <c r="D993" s="12" t="s">
        <v>392</v>
      </c>
      <c r="G993" s="13" t="s">
        <v>393</v>
      </c>
      <c r="H993" s="14" t="s">
        <v>283</v>
      </c>
      <c r="I993" s="14" t="s">
        <v>394</v>
      </c>
      <c r="K993" s="15" t="s">
        <v>395</v>
      </c>
      <c r="O993" s="11" t="s">
        <v>172</v>
      </c>
    </row>
    <row r="994" spans="1:15" hidden="1" x14ac:dyDescent="0.25">
      <c r="A994" s="11" t="s">
        <v>2</v>
      </c>
      <c r="D994" s="12" t="s">
        <v>396</v>
      </c>
      <c r="G994" s="13" t="s">
        <v>397</v>
      </c>
      <c r="H994" s="14" t="s">
        <v>283</v>
      </c>
      <c r="I994" s="14" t="s">
        <v>398</v>
      </c>
      <c r="K994" s="15" t="s">
        <v>399</v>
      </c>
      <c r="O994" s="11" t="s">
        <v>172</v>
      </c>
    </row>
    <row r="995" spans="1:15" hidden="1" x14ac:dyDescent="0.25">
      <c r="A995" s="11" t="s">
        <v>2</v>
      </c>
      <c r="D995" s="12" t="s">
        <v>275</v>
      </c>
      <c r="G995" s="13" t="s">
        <v>400</v>
      </c>
      <c r="H995" s="14" t="s">
        <v>277</v>
      </c>
      <c r="I995" s="14" t="s">
        <v>401</v>
      </c>
      <c r="K995" s="15" t="s">
        <v>402</v>
      </c>
      <c r="O995" s="11" t="s">
        <v>172</v>
      </c>
    </row>
    <row r="996" spans="1:15" hidden="1" x14ac:dyDescent="0.25">
      <c r="A996" s="11" t="s">
        <v>2</v>
      </c>
      <c r="D996" s="12" t="s">
        <v>403</v>
      </c>
      <c r="G996" s="13" t="s">
        <v>404</v>
      </c>
      <c r="H996" s="14" t="s">
        <v>283</v>
      </c>
      <c r="I996" s="14" t="s">
        <v>405</v>
      </c>
      <c r="K996" s="15" t="s">
        <v>406</v>
      </c>
      <c r="O996" s="11" t="s">
        <v>172</v>
      </c>
    </row>
    <row r="997" spans="1:15" hidden="1" x14ac:dyDescent="0.25">
      <c r="A997" s="11" t="s">
        <v>2</v>
      </c>
      <c r="D997" s="12" t="s">
        <v>407</v>
      </c>
      <c r="G997" s="13" t="s">
        <v>408</v>
      </c>
      <c r="H997" s="14" t="s">
        <v>283</v>
      </c>
      <c r="I997" s="14" t="s">
        <v>409</v>
      </c>
      <c r="K997" s="15" t="s">
        <v>410</v>
      </c>
      <c r="O997" s="11" t="s">
        <v>172</v>
      </c>
    </row>
    <row r="998" spans="1:15" hidden="1" x14ac:dyDescent="0.25">
      <c r="A998" s="11" t="s">
        <v>2</v>
      </c>
      <c r="D998" s="12" t="s">
        <v>411</v>
      </c>
      <c r="G998" s="13" t="s">
        <v>412</v>
      </c>
      <c r="H998" s="14" t="s">
        <v>283</v>
      </c>
      <c r="I998" s="14" t="s">
        <v>413</v>
      </c>
      <c r="K998" s="15" t="s">
        <v>414</v>
      </c>
      <c r="O998" s="11" t="s">
        <v>172</v>
      </c>
    </row>
    <row r="999" spans="1:15" hidden="1" x14ac:dyDescent="0.25">
      <c r="A999" s="11" t="s">
        <v>2</v>
      </c>
      <c r="D999" s="12" t="s">
        <v>415</v>
      </c>
      <c r="G999" s="13" t="s">
        <v>416</v>
      </c>
      <c r="H999" s="14" t="s">
        <v>283</v>
      </c>
      <c r="I999" s="14" t="s">
        <v>417</v>
      </c>
      <c r="K999" s="15" t="s">
        <v>418</v>
      </c>
      <c r="O999" s="11" t="s">
        <v>172</v>
      </c>
    </row>
    <row r="1000" spans="1:15" hidden="1" x14ac:dyDescent="0.25">
      <c r="A1000" s="11" t="s">
        <v>2</v>
      </c>
      <c r="D1000" s="12" t="s">
        <v>419</v>
      </c>
      <c r="G1000" s="13" t="s">
        <v>420</v>
      </c>
      <c r="H1000" s="14" t="s">
        <v>283</v>
      </c>
      <c r="I1000" s="14" t="s">
        <v>421</v>
      </c>
      <c r="K1000" s="15" t="s">
        <v>422</v>
      </c>
      <c r="O1000" s="11" t="s">
        <v>172</v>
      </c>
    </row>
    <row r="1001" spans="1:15" hidden="1" x14ac:dyDescent="0.25">
      <c r="A1001" s="11" t="s">
        <v>2</v>
      </c>
      <c r="D1001" s="12" t="s">
        <v>423</v>
      </c>
      <c r="G1001" s="13" t="s">
        <v>424</v>
      </c>
      <c r="H1001" s="14" t="s">
        <v>283</v>
      </c>
      <c r="I1001" s="14" t="s">
        <v>425</v>
      </c>
      <c r="K1001" s="15" t="s">
        <v>426</v>
      </c>
      <c r="O1001" s="11" t="s">
        <v>172</v>
      </c>
    </row>
    <row r="1002" spans="1:15" hidden="1" x14ac:dyDescent="0.25">
      <c r="A1002" s="11" t="s">
        <v>2</v>
      </c>
      <c r="D1002" s="12" t="s">
        <v>427</v>
      </c>
      <c r="G1002" s="13" t="s">
        <v>428</v>
      </c>
      <c r="H1002" s="14" t="s">
        <v>283</v>
      </c>
      <c r="I1002" s="14" t="s">
        <v>429</v>
      </c>
      <c r="K1002" s="15" t="s">
        <v>430</v>
      </c>
      <c r="O1002" s="11" t="s">
        <v>172</v>
      </c>
    </row>
    <row r="1003" spans="1:15" hidden="1" x14ac:dyDescent="0.25">
      <c r="A1003" s="11" t="s">
        <v>2</v>
      </c>
      <c r="D1003" s="12" t="s">
        <v>431</v>
      </c>
      <c r="G1003" s="13" t="s">
        <v>432</v>
      </c>
      <c r="H1003" s="14" t="s">
        <v>283</v>
      </c>
      <c r="I1003" s="14" t="s">
        <v>433</v>
      </c>
      <c r="K1003" s="15" t="s">
        <v>434</v>
      </c>
      <c r="O1003" s="11" t="s">
        <v>172</v>
      </c>
    </row>
    <row r="1004" spans="1:15" hidden="1" x14ac:dyDescent="0.25">
      <c r="A1004" s="11" t="s">
        <v>2</v>
      </c>
      <c r="D1004" s="12" t="s">
        <v>435</v>
      </c>
      <c r="G1004" s="13" t="s">
        <v>436</v>
      </c>
      <c r="H1004" s="14" t="s">
        <v>283</v>
      </c>
      <c r="I1004" s="14" t="s">
        <v>437</v>
      </c>
      <c r="K1004" s="15" t="s">
        <v>438</v>
      </c>
      <c r="O1004" s="11" t="s">
        <v>172</v>
      </c>
    </row>
    <row r="1005" spans="1:15" hidden="1" x14ac:dyDescent="0.25">
      <c r="A1005" s="11" t="s">
        <v>2</v>
      </c>
      <c r="D1005" s="12" t="s">
        <v>275</v>
      </c>
      <c r="G1005" s="13" t="s">
        <v>439</v>
      </c>
      <c r="H1005" s="14" t="s">
        <v>277</v>
      </c>
      <c r="I1005" s="14" t="s">
        <v>440</v>
      </c>
      <c r="K1005" s="15" t="s">
        <v>441</v>
      </c>
      <c r="O1005" s="11" t="s">
        <v>172</v>
      </c>
    </row>
    <row r="1006" spans="1:15" hidden="1" x14ac:dyDescent="0.25">
      <c r="A1006" s="11" t="s">
        <v>2</v>
      </c>
      <c r="D1006" s="12" t="s">
        <v>442</v>
      </c>
      <c r="G1006" s="13" t="s">
        <v>443</v>
      </c>
      <c r="H1006" s="14" t="s">
        <v>283</v>
      </c>
      <c r="I1006" s="14" t="s">
        <v>444</v>
      </c>
      <c r="K1006" s="15" t="s">
        <v>445</v>
      </c>
      <c r="O1006" s="11" t="s">
        <v>172</v>
      </c>
    </row>
    <row r="1007" spans="1:15" hidden="1" x14ac:dyDescent="0.25">
      <c r="A1007" s="11" t="s">
        <v>2</v>
      </c>
      <c r="D1007" s="12" t="s">
        <v>446</v>
      </c>
      <c r="G1007" s="13" t="s">
        <v>447</v>
      </c>
      <c r="H1007" s="14" t="s">
        <v>283</v>
      </c>
      <c r="I1007" s="14" t="s">
        <v>448</v>
      </c>
      <c r="K1007" s="15" t="s">
        <v>449</v>
      </c>
      <c r="O1007" s="11" t="s">
        <v>172</v>
      </c>
    </row>
    <row r="1008" spans="1:15" hidden="1" x14ac:dyDescent="0.25">
      <c r="A1008" s="11" t="s">
        <v>2</v>
      </c>
      <c r="D1008" s="12" t="s">
        <v>450</v>
      </c>
      <c r="G1008" s="13" t="s">
        <v>451</v>
      </c>
      <c r="H1008" s="14" t="s">
        <v>283</v>
      </c>
      <c r="I1008" s="14" t="s">
        <v>452</v>
      </c>
      <c r="K1008" s="15" t="s">
        <v>453</v>
      </c>
      <c r="O1008" s="11" t="s">
        <v>172</v>
      </c>
    </row>
    <row r="1009" spans="1:15" hidden="1" x14ac:dyDescent="0.25">
      <c r="A1009" s="11" t="s">
        <v>2</v>
      </c>
      <c r="D1009" s="12" t="s">
        <v>454</v>
      </c>
      <c r="G1009" s="13" t="s">
        <v>455</v>
      </c>
      <c r="H1009" s="14" t="s">
        <v>283</v>
      </c>
      <c r="I1009" s="14" t="s">
        <v>456</v>
      </c>
      <c r="K1009" s="15" t="s">
        <v>457</v>
      </c>
      <c r="O1009" s="11" t="s">
        <v>172</v>
      </c>
    </row>
    <row r="1010" spans="1:15" hidden="1" x14ac:dyDescent="0.25">
      <c r="A1010" s="11" t="s">
        <v>2</v>
      </c>
      <c r="D1010" s="12" t="s">
        <v>458</v>
      </c>
      <c r="G1010" s="13" t="s">
        <v>459</v>
      </c>
      <c r="H1010" s="14" t="s">
        <v>283</v>
      </c>
      <c r="I1010" s="14" t="s">
        <v>460</v>
      </c>
      <c r="K1010" s="15" t="s">
        <v>461</v>
      </c>
      <c r="O1010" s="11" t="s">
        <v>172</v>
      </c>
    </row>
    <row r="1011" spans="1:15" hidden="1" x14ac:dyDescent="0.25">
      <c r="A1011" s="11" t="s">
        <v>2</v>
      </c>
      <c r="D1011" s="12" t="s">
        <v>462</v>
      </c>
      <c r="G1011" s="13" t="s">
        <v>463</v>
      </c>
      <c r="H1011" s="14" t="s">
        <v>283</v>
      </c>
      <c r="I1011" s="14" t="s">
        <v>464</v>
      </c>
      <c r="K1011" s="15" t="s">
        <v>465</v>
      </c>
      <c r="O1011" s="11" t="s">
        <v>172</v>
      </c>
    </row>
    <row r="1012" spans="1:15" hidden="1" x14ac:dyDescent="0.25">
      <c r="A1012" s="11" t="s">
        <v>2</v>
      </c>
      <c r="D1012" s="12" t="s">
        <v>466</v>
      </c>
      <c r="G1012" s="13" t="s">
        <v>467</v>
      </c>
      <c r="H1012" s="14" t="s">
        <v>283</v>
      </c>
      <c r="I1012" s="14" t="s">
        <v>468</v>
      </c>
      <c r="K1012" s="15" t="s">
        <v>469</v>
      </c>
      <c r="O1012" s="11" t="s">
        <v>172</v>
      </c>
    </row>
    <row r="1013" spans="1:15" hidden="1" x14ac:dyDescent="0.25">
      <c r="A1013" s="11" t="s">
        <v>2</v>
      </c>
      <c r="D1013" s="12" t="s">
        <v>470</v>
      </c>
      <c r="G1013" s="13" t="s">
        <v>471</v>
      </c>
      <c r="H1013" s="14" t="s">
        <v>283</v>
      </c>
      <c r="I1013" s="14" t="s">
        <v>472</v>
      </c>
      <c r="K1013" s="15" t="s">
        <v>473</v>
      </c>
      <c r="O1013" s="11" t="s">
        <v>172</v>
      </c>
    </row>
    <row r="1014" spans="1:15" hidden="1" x14ac:dyDescent="0.25">
      <c r="A1014" s="11" t="s">
        <v>2</v>
      </c>
      <c r="D1014" s="12" t="s">
        <v>474</v>
      </c>
      <c r="G1014" s="13" t="s">
        <v>475</v>
      </c>
      <c r="H1014" s="14" t="s">
        <v>283</v>
      </c>
      <c r="I1014" s="14" t="s">
        <v>476</v>
      </c>
      <c r="K1014" s="15" t="s">
        <v>477</v>
      </c>
      <c r="O1014" s="11" t="s">
        <v>172</v>
      </c>
    </row>
    <row r="1015" spans="1:15" hidden="1" x14ac:dyDescent="0.25">
      <c r="A1015" s="11" t="s">
        <v>2</v>
      </c>
      <c r="H1015" s="14" t="s">
        <v>110</v>
      </c>
      <c r="I1015" s="14" t="s">
        <v>110</v>
      </c>
      <c r="K1015" s="15" t="s">
        <v>478</v>
      </c>
    </row>
    <row r="1016" spans="1:15" hidden="1" x14ac:dyDescent="0.25">
      <c r="A1016" s="11" t="s">
        <v>2</v>
      </c>
      <c r="D1016" s="12" t="s">
        <v>479</v>
      </c>
      <c r="G1016" s="13" t="s">
        <v>480</v>
      </c>
      <c r="H1016" s="14" t="s">
        <v>283</v>
      </c>
      <c r="I1016" s="14" t="s">
        <v>481</v>
      </c>
      <c r="K1016" s="15" t="s">
        <v>482</v>
      </c>
      <c r="O1016" s="11" t="s">
        <v>172</v>
      </c>
    </row>
    <row r="1017" spans="1:15" hidden="1" x14ac:dyDescent="0.25">
      <c r="A1017" s="11" t="s">
        <v>2</v>
      </c>
      <c r="D1017" s="12" t="s">
        <v>483</v>
      </c>
      <c r="G1017" s="13" t="s">
        <v>484</v>
      </c>
      <c r="H1017" s="14" t="s">
        <v>283</v>
      </c>
      <c r="I1017" s="14" t="s">
        <v>485</v>
      </c>
      <c r="K1017" s="15" t="s">
        <v>486</v>
      </c>
      <c r="O1017" s="11" t="s">
        <v>172</v>
      </c>
    </row>
    <row r="1018" spans="1:15" hidden="1" x14ac:dyDescent="0.25">
      <c r="A1018" s="11" t="s">
        <v>2</v>
      </c>
      <c r="D1018" s="12" t="s">
        <v>487</v>
      </c>
      <c r="G1018" s="13" t="s">
        <v>488</v>
      </c>
      <c r="H1018" s="14" t="s">
        <v>283</v>
      </c>
      <c r="I1018" s="14" t="s">
        <v>489</v>
      </c>
      <c r="K1018" s="15" t="s">
        <v>490</v>
      </c>
      <c r="O1018" s="11" t="s">
        <v>172</v>
      </c>
    </row>
    <row r="1019" spans="1:15" hidden="1" x14ac:dyDescent="0.25">
      <c r="A1019" s="11" t="s">
        <v>2</v>
      </c>
      <c r="D1019" s="12" t="s">
        <v>491</v>
      </c>
      <c r="G1019" s="13" t="s">
        <v>492</v>
      </c>
      <c r="H1019" s="14" t="s">
        <v>283</v>
      </c>
      <c r="I1019" s="14" t="s">
        <v>493</v>
      </c>
      <c r="K1019" s="15" t="s">
        <v>494</v>
      </c>
      <c r="O1019" s="11" t="s">
        <v>172</v>
      </c>
    </row>
    <row r="1020" spans="1:15" hidden="1" x14ac:dyDescent="0.25">
      <c r="A1020" s="11" t="s">
        <v>2</v>
      </c>
      <c r="D1020" s="12" t="s">
        <v>275</v>
      </c>
      <c r="G1020" s="13" t="s">
        <v>495</v>
      </c>
      <c r="H1020" s="14" t="s">
        <v>277</v>
      </c>
      <c r="I1020" s="14" t="s">
        <v>496</v>
      </c>
      <c r="K1020" s="15" t="s">
        <v>497</v>
      </c>
      <c r="O1020" s="11" t="s">
        <v>172</v>
      </c>
    </row>
    <row r="1021" spans="1:15" hidden="1" x14ac:dyDescent="0.25">
      <c r="A1021" s="11" t="s">
        <v>2</v>
      </c>
      <c r="D1021" s="12" t="s">
        <v>498</v>
      </c>
      <c r="G1021" s="13" t="s">
        <v>499</v>
      </c>
      <c r="H1021" s="14" t="s">
        <v>283</v>
      </c>
      <c r="I1021" s="14" t="s">
        <v>500</v>
      </c>
      <c r="K1021" s="15" t="s">
        <v>501</v>
      </c>
      <c r="O1021" s="11" t="s">
        <v>172</v>
      </c>
    </row>
    <row r="1022" spans="1:15" hidden="1" x14ac:dyDescent="0.25">
      <c r="A1022" s="11" t="s">
        <v>2</v>
      </c>
      <c r="D1022" s="12" t="s">
        <v>502</v>
      </c>
      <c r="G1022" s="13" t="s">
        <v>503</v>
      </c>
      <c r="H1022" s="14" t="s">
        <v>283</v>
      </c>
      <c r="I1022" s="14" t="s">
        <v>504</v>
      </c>
      <c r="K1022" s="15" t="s">
        <v>505</v>
      </c>
      <c r="O1022" s="11" t="s">
        <v>172</v>
      </c>
    </row>
    <row r="1023" spans="1:15" hidden="1" x14ac:dyDescent="0.25">
      <c r="A1023" s="11" t="s">
        <v>2</v>
      </c>
      <c r="D1023" s="12" t="s">
        <v>506</v>
      </c>
      <c r="G1023" s="13" t="s">
        <v>507</v>
      </c>
      <c r="H1023" s="14" t="s">
        <v>283</v>
      </c>
      <c r="I1023" s="14" t="s">
        <v>508</v>
      </c>
      <c r="K1023" s="15" t="s">
        <v>509</v>
      </c>
      <c r="O1023" s="11" t="s">
        <v>172</v>
      </c>
    </row>
    <row r="1024" spans="1:15" hidden="1" x14ac:dyDescent="0.25">
      <c r="A1024" s="11" t="s">
        <v>2</v>
      </c>
      <c r="D1024" s="12" t="s">
        <v>510</v>
      </c>
      <c r="G1024" s="13" t="s">
        <v>511</v>
      </c>
      <c r="H1024" s="14" t="s">
        <v>283</v>
      </c>
      <c r="I1024" s="14" t="s">
        <v>512</v>
      </c>
      <c r="K1024" s="15" t="s">
        <v>513</v>
      </c>
      <c r="O1024" s="11" t="s">
        <v>172</v>
      </c>
    </row>
    <row r="1025" spans="1:15" hidden="1" x14ac:dyDescent="0.25">
      <c r="A1025" s="11" t="s">
        <v>2</v>
      </c>
      <c r="D1025" s="12" t="s">
        <v>514</v>
      </c>
      <c r="G1025" s="13" t="s">
        <v>515</v>
      </c>
      <c r="H1025" s="14" t="s">
        <v>283</v>
      </c>
      <c r="I1025" s="14" t="s">
        <v>516</v>
      </c>
      <c r="K1025" s="15" t="s">
        <v>517</v>
      </c>
      <c r="O1025" s="11" t="s">
        <v>172</v>
      </c>
    </row>
    <row r="1026" spans="1:15" hidden="1" x14ac:dyDescent="0.25">
      <c r="A1026" s="11" t="s">
        <v>2</v>
      </c>
      <c r="D1026" s="12" t="s">
        <v>518</v>
      </c>
      <c r="G1026" s="13" t="s">
        <v>519</v>
      </c>
      <c r="H1026" s="14" t="s">
        <v>283</v>
      </c>
      <c r="I1026" s="14" t="s">
        <v>520</v>
      </c>
      <c r="K1026" s="15" t="s">
        <v>521</v>
      </c>
      <c r="O1026" s="11" t="s">
        <v>172</v>
      </c>
    </row>
    <row r="1027" spans="1:15" hidden="1" x14ac:dyDescent="0.25">
      <c r="A1027" s="11" t="s">
        <v>2</v>
      </c>
      <c r="D1027" s="12" t="s">
        <v>296</v>
      </c>
      <c r="G1027" s="13" t="s">
        <v>522</v>
      </c>
      <c r="H1027" s="14" t="s">
        <v>283</v>
      </c>
      <c r="I1027" s="14" t="s">
        <v>523</v>
      </c>
      <c r="K1027" s="15" t="s">
        <v>524</v>
      </c>
      <c r="O1027" s="11" t="s">
        <v>172</v>
      </c>
    </row>
    <row r="1028" spans="1:15" hidden="1" x14ac:dyDescent="0.25">
      <c r="A1028" s="11" t="s">
        <v>2</v>
      </c>
      <c r="D1028" s="12" t="s">
        <v>525</v>
      </c>
      <c r="G1028" s="13" t="s">
        <v>526</v>
      </c>
      <c r="H1028" s="14" t="s">
        <v>283</v>
      </c>
      <c r="I1028" s="14" t="s">
        <v>527</v>
      </c>
      <c r="K1028" s="15" t="s">
        <v>528</v>
      </c>
      <c r="O1028" s="11" t="s">
        <v>172</v>
      </c>
    </row>
    <row r="1029" spans="1:15" hidden="1" x14ac:dyDescent="0.25">
      <c r="A1029" s="11" t="s">
        <v>2</v>
      </c>
      <c r="D1029" s="12" t="s">
        <v>529</v>
      </c>
      <c r="G1029" s="13" t="s">
        <v>530</v>
      </c>
      <c r="H1029" s="14" t="s">
        <v>283</v>
      </c>
      <c r="I1029" s="14" t="s">
        <v>531</v>
      </c>
      <c r="K1029" s="15" t="s">
        <v>532</v>
      </c>
      <c r="O1029" s="11" t="s">
        <v>172</v>
      </c>
    </row>
    <row r="1030" spans="1:15" hidden="1" x14ac:dyDescent="0.25">
      <c r="A1030" s="11" t="s">
        <v>2</v>
      </c>
      <c r="D1030" s="12" t="s">
        <v>533</v>
      </c>
      <c r="G1030" s="13" t="s">
        <v>534</v>
      </c>
      <c r="H1030" s="14" t="s">
        <v>283</v>
      </c>
      <c r="I1030" s="14" t="s">
        <v>535</v>
      </c>
      <c r="K1030" s="15" t="s">
        <v>536</v>
      </c>
      <c r="O1030" s="11" t="s">
        <v>172</v>
      </c>
    </row>
    <row r="1031" spans="1:15" hidden="1" x14ac:dyDescent="0.25">
      <c r="A1031" s="11" t="s">
        <v>2</v>
      </c>
      <c r="D1031" s="12" t="s">
        <v>537</v>
      </c>
      <c r="G1031" s="13" t="s">
        <v>538</v>
      </c>
      <c r="H1031" s="14" t="s">
        <v>283</v>
      </c>
      <c r="I1031" s="14" t="s">
        <v>539</v>
      </c>
      <c r="K1031" s="15" t="s">
        <v>540</v>
      </c>
      <c r="O1031" s="11" t="s">
        <v>172</v>
      </c>
    </row>
    <row r="1032" spans="1:15" hidden="1" x14ac:dyDescent="0.25">
      <c r="A1032" s="11" t="s">
        <v>2</v>
      </c>
      <c r="D1032" s="12" t="s">
        <v>296</v>
      </c>
      <c r="G1032" s="13" t="s">
        <v>541</v>
      </c>
      <c r="H1032" s="14" t="s">
        <v>283</v>
      </c>
      <c r="I1032" s="14" t="s">
        <v>542</v>
      </c>
      <c r="K1032" s="15" t="s">
        <v>543</v>
      </c>
      <c r="O1032" s="11" t="s">
        <v>172</v>
      </c>
    </row>
    <row r="1033" spans="1:15" hidden="1" x14ac:dyDescent="0.25">
      <c r="A1033" s="11" t="s">
        <v>2</v>
      </c>
      <c r="D1033" s="12" t="s">
        <v>300</v>
      </c>
      <c r="G1033" s="13" t="s">
        <v>544</v>
      </c>
      <c r="H1033" s="14" t="s">
        <v>283</v>
      </c>
      <c r="I1033" s="14" t="s">
        <v>545</v>
      </c>
      <c r="K1033" s="15" t="s">
        <v>546</v>
      </c>
      <c r="O1033" s="11" t="s">
        <v>172</v>
      </c>
    </row>
    <row r="1034" spans="1:15" hidden="1" x14ac:dyDescent="0.25">
      <c r="A1034" s="11" t="s">
        <v>2</v>
      </c>
      <c r="D1034" s="12" t="s">
        <v>547</v>
      </c>
      <c r="G1034" s="13" t="s">
        <v>548</v>
      </c>
      <c r="H1034" s="14" t="s">
        <v>283</v>
      </c>
      <c r="I1034" s="14" t="s">
        <v>549</v>
      </c>
      <c r="K1034" s="15" t="s">
        <v>550</v>
      </c>
      <c r="O1034" s="11" t="s">
        <v>172</v>
      </c>
    </row>
    <row r="1035" spans="1:15" hidden="1" x14ac:dyDescent="0.25">
      <c r="A1035" s="11" t="s">
        <v>21</v>
      </c>
      <c r="H1035" s="14" t="s">
        <v>110</v>
      </c>
      <c r="I1035" s="14" t="s">
        <v>110</v>
      </c>
      <c r="K1035" s="15" t="s">
        <v>1497</v>
      </c>
    </row>
    <row r="1036" spans="1:15" hidden="1" x14ac:dyDescent="0.25">
      <c r="A1036" s="11" t="s">
        <v>2</v>
      </c>
      <c r="H1036" s="14" t="s">
        <v>110</v>
      </c>
      <c r="I1036" s="14" t="s">
        <v>110</v>
      </c>
      <c r="K1036" s="15" t="s">
        <v>1682</v>
      </c>
    </row>
    <row r="1037" spans="1:15" hidden="1" x14ac:dyDescent="0.25">
      <c r="A1037" s="11" t="s">
        <v>2</v>
      </c>
      <c r="H1037" s="14" t="s">
        <v>110</v>
      </c>
      <c r="I1037" s="14" t="s">
        <v>110</v>
      </c>
      <c r="K1037" s="15" t="s">
        <v>1683</v>
      </c>
    </row>
    <row r="1038" spans="1:15" hidden="1" x14ac:dyDescent="0.25">
      <c r="A1038" s="11" t="s">
        <v>2</v>
      </c>
      <c r="H1038" s="14" t="s">
        <v>110</v>
      </c>
      <c r="I1038" s="14" t="s">
        <v>110</v>
      </c>
      <c r="K1038" s="15" t="s">
        <v>1684</v>
      </c>
    </row>
    <row r="1039" spans="1:15" hidden="1" x14ac:dyDescent="0.25">
      <c r="A1039" s="11" t="s">
        <v>2</v>
      </c>
      <c r="H1039" s="14" t="s">
        <v>110</v>
      </c>
      <c r="I1039" s="14" t="s">
        <v>110</v>
      </c>
      <c r="K1039" s="15" t="s">
        <v>1685</v>
      </c>
    </row>
    <row r="1040" spans="1:15" hidden="1" x14ac:dyDescent="0.25">
      <c r="A1040" s="11" t="s">
        <v>2</v>
      </c>
      <c r="H1040" s="14" t="s">
        <v>110</v>
      </c>
      <c r="I1040" s="14" t="s">
        <v>110</v>
      </c>
      <c r="K1040" s="15" t="s">
        <v>1686</v>
      </c>
    </row>
    <row r="1041" spans="1:11" hidden="1" x14ac:dyDescent="0.25">
      <c r="A1041" s="11" t="s">
        <v>2</v>
      </c>
      <c r="H1041" s="14" t="s">
        <v>110</v>
      </c>
      <c r="I1041" s="14" t="s">
        <v>110</v>
      </c>
      <c r="K1041" s="15" t="s">
        <v>1687</v>
      </c>
    </row>
    <row r="1042" spans="1:11" hidden="1" x14ac:dyDescent="0.25">
      <c r="A1042" s="11" t="s">
        <v>2</v>
      </c>
      <c r="H1042" s="14" t="s">
        <v>110</v>
      </c>
      <c r="I1042" s="14" t="s">
        <v>110</v>
      </c>
      <c r="K1042" s="15" t="s">
        <v>1688</v>
      </c>
    </row>
    <row r="1043" spans="1:11" hidden="1" x14ac:dyDescent="0.25">
      <c r="A1043" s="11" t="s">
        <v>2</v>
      </c>
      <c r="H1043" s="14" t="s">
        <v>110</v>
      </c>
      <c r="I1043" s="14" t="s">
        <v>110</v>
      </c>
      <c r="K1043" s="15" t="s">
        <v>1689</v>
      </c>
    </row>
    <row r="1044" spans="1:11" hidden="1" x14ac:dyDescent="0.25">
      <c r="A1044" s="11" t="s">
        <v>2</v>
      </c>
      <c r="H1044" s="14" t="s">
        <v>110</v>
      </c>
      <c r="I1044" s="14" t="s">
        <v>110</v>
      </c>
      <c r="K1044" s="15" t="s">
        <v>1690</v>
      </c>
    </row>
    <row r="1045" spans="1:11" hidden="1" x14ac:dyDescent="0.25">
      <c r="A1045" s="11" t="s">
        <v>2</v>
      </c>
      <c r="H1045" s="14" t="s">
        <v>110</v>
      </c>
      <c r="I1045" s="14" t="s">
        <v>110</v>
      </c>
      <c r="K1045" s="15" t="s">
        <v>1691</v>
      </c>
    </row>
    <row r="1046" spans="1:11" hidden="1" x14ac:dyDescent="0.25">
      <c r="A1046" s="11" t="s">
        <v>2</v>
      </c>
      <c r="H1046" s="14" t="s">
        <v>110</v>
      </c>
      <c r="I1046" s="14" t="s">
        <v>110</v>
      </c>
      <c r="K1046" s="15" t="s">
        <v>1692</v>
      </c>
    </row>
    <row r="1047" spans="1:11" hidden="1" x14ac:dyDescent="0.25">
      <c r="A1047" s="11" t="s">
        <v>2</v>
      </c>
      <c r="H1047" s="14" t="s">
        <v>110</v>
      </c>
      <c r="I1047" s="14" t="s">
        <v>110</v>
      </c>
      <c r="K1047" s="15" t="s">
        <v>1693</v>
      </c>
    </row>
    <row r="1048" spans="1:11" hidden="1" x14ac:dyDescent="0.25">
      <c r="A1048" s="11" t="s">
        <v>2</v>
      </c>
      <c r="H1048" s="14" t="s">
        <v>110</v>
      </c>
      <c r="I1048" s="14" t="s">
        <v>110</v>
      </c>
      <c r="K1048" s="15" t="s">
        <v>1694</v>
      </c>
    </row>
    <row r="1049" spans="1:11" hidden="1" x14ac:dyDescent="0.25">
      <c r="A1049" s="11" t="s">
        <v>2</v>
      </c>
      <c r="H1049" s="14" t="s">
        <v>110</v>
      </c>
      <c r="I1049" s="14" t="s">
        <v>110</v>
      </c>
      <c r="K1049" s="15" t="s">
        <v>1695</v>
      </c>
    </row>
    <row r="1050" spans="1:11" hidden="1" x14ac:dyDescent="0.25">
      <c r="A1050" s="11" t="s">
        <v>21</v>
      </c>
      <c r="H1050" s="14" t="s">
        <v>110</v>
      </c>
      <c r="I1050" s="14" t="s">
        <v>110</v>
      </c>
      <c r="K1050" s="15" t="s">
        <v>1799</v>
      </c>
    </row>
    <row r="1051" spans="1:11" hidden="1" x14ac:dyDescent="0.25">
      <c r="A1051" s="11" t="s">
        <v>21</v>
      </c>
      <c r="H1051" s="14" t="s">
        <v>110</v>
      </c>
      <c r="I1051" s="14" t="s">
        <v>110</v>
      </c>
      <c r="K1051" s="15" t="s">
        <v>1800</v>
      </c>
    </row>
    <row r="1052" spans="1:11" hidden="1" x14ac:dyDescent="0.25">
      <c r="A1052" s="11" t="s">
        <v>21</v>
      </c>
      <c r="H1052" s="14" t="s">
        <v>110</v>
      </c>
      <c r="I1052" s="14" t="s">
        <v>110</v>
      </c>
      <c r="K1052" s="15" t="s">
        <v>1801</v>
      </c>
    </row>
    <row r="1053" spans="1:11" hidden="1" x14ac:dyDescent="0.25">
      <c r="A1053" s="11" t="s">
        <v>21</v>
      </c>
      <c r="H1053" s="14" t="s">
        <v>110</v>
      </c>
      <c r="I1053" s="14" t="s">
        <v>110</v>
      </c>
      <c r="K1053" s="15" t="s">
        <v>1802</v>
      </c>
    </row>
    <row r="1054" spans="1:11" hidden="1" x14ac:dyDescent="0.25">
      <c r="A1054" s="11" t="s">
        <v>21</v>
      </c>
      <c r="H1054" s="14" t="s">
        <v>110</v>
      </c>
      <c r="I1054" s="14" t="s">
        <v>110</v>
      </c>
      <c r="K1054" s="15" t="s">
        <v>1803</v>
      </c>
    </row>
    <row r="1055" spans="1:11" hidden="1" x14ac:dyDescent="0.25">
      <c r="A1055" s="11" t="s">
        <v>21</v>
      </c>
      <c r="H1055" s="14" t="s">
        <v>110</v>
      </c>
      <c r="I1055" s="14" t="s">
        <v>110</v>
      </c>
      <c r="K1055" s="15" t="s">
        <v>1804</v>
      </c>
    </row>
    <row r="1056" spans="1:11" hidden="1" x14ac:dyDescent="0.25">
      <c r="A1056" s="11" t="s">
        <v>21</v>
      </c>
      <c r="H1056" s="14" t="s">
        <v>110</v>
      </c>
      <c r="I1056" s="14" t="s">
        <v>110</v>
      </c>
      <c r="K1056" s="15" t="s">
        <v>1805</v>
      </c>
    </row>
    <row r="1057" spans="1:11" hidden="1" x14ac:dyDescent="0.25">
      <c r="A1057" s="11" t="s">
        <v>21</v>
      </c>
      <c r="H1057" s="14" t="s">
        <v>110</v>
      </c>
      <c r="I1057" s="14" t="s">
        <v>110</v>
      </c>
      <c r="K1057" s="15" t="s">
        <v>1864</v>
      </c>
    </row>
    <row r="1058" spans="1:11" hidden="1" x14ac:dyDescent="0.25">
      <c r="A1058" s="11" t="s">
        <v>21</v>
      </c>
      <c r="H1058" s="14" t="s">
        <v>110</v>
      </c>
      <c r="I1058" s="14" t="s">
        <v>110</v>
      </c>
      <c r="K1058" s="15" t="s">
        <v>1865</v>
      </c>
    </row>
    <row r="1059" spans="1:11" hidden="1" x14ac:dyDescent="0.25">
      <c r="A1059" s="11" t="s">
        <v>21</v>
      </c>
      <c r="H1059" s="14" t="s">
        <v>110</v>
      </c>
      <c r="I1059" s="14" t="s">
        <v>110</v>
      </c>
      <c r="K1059" s="15" t="s">
        <v>1876</v>
      </c>
    </row>
    <row r="1060" spans="1:11" hidden="1" x14ac:dyDescent="0.25">
      <c r="A1060" s="11" t="s">
        <v>21</v>
      </c>
      <c r="H1060" s="14" t="s">
        <v>110</v>
      </c>
      <c r="I1060" s="14" t="s">
        <v>110</v>
      </c>
      <c r="K1060" s="15" t="s">
        <v>1940</v>
      </c>
    </row>
    <row r="1061" spans="1:11" hidden="1" x14ac:dyDescent="0.25">
      <c r="A1061" s="11" t="s">
        <v>21</v>
      </c>
      <c r="H1061" s="14" t="s">
        <v>110</v>
      </c>
      <c r="I1061" s="14" t="s">
        <v>110</v>
      </c>
      <c r="K1061" s="15" t="s">
        <v>1945</v>
      </c>
    </row>
    <row r="1062" spans="1:11" hidden="1" x14ac:dyDescent="0.25">
      <c r="A1062" s="11" t="s">
        <v>21</v>
      </c>
      <c r="H1062" s="14" t="s">
        <v>110</v>
      </c>
      <c r="I1062" s="14" t="s">
        <v>110</v>
      </c>
      <c r="K1062" s="15" t="s">
        <v>1946</v>
      </c>
    </row>
    <row r="1063" spans="1:11" hidden="1" x14ac:dyDescent="0.25">
      <c r="A1063" s="11" t="s">
        <v>21</v>
      </c>
      <c r="H1063" s="14" t="s">
        <v>110</v>
      </c>
      <c r="I1063" s="14" t="s">
        <v>110</v>
      </c>
      <c r="K1063" s="15" t="s">
        <v>1947</v>
      </c>
    </row>
    <row r="1064" spans="1:11" hidden="1" x14ac:dyDescent="0.25">
      <c r="A1064" s="11" t="s">
        <v>21</v>
      </c>
      <c r="H1064" s="14" t="s">
        <v>110</v>
      </c>
      <c r="I1064" s="14" t="s">
        <v>110</v>
      </c>
      <c r="K1064" s="15" t="s">
        <v>1948</v>
      </c>
    </row>
    <row r="1065" spans="1:11" hidden="1" x14ac:dyDescent="0.25">
      <c r="A1065" s="11" t="s">
        <v>21</v>
      </c>
      <c r="H1065" s="14" t="s">
        <v>110</v>
      </c>
      <c r="I1065" s="14" t="s">
        <v>110</v>
      </c>
      <c r="K1065" s="15" t="s">
        <v>1949</v>
      </c>
    </row>
    <row r="1066" spans="1:11" hidden="1" x14ac:dyDescent="0.25">
      <c r="A1066" s="11" t="s">
        <v>21</v>
      </c>
      <c r="H1066" s="14" t="s">
        <v>110</v>
      </c>
      <c r="I1066" s="14" t="s">
        <v>110</v>
      </c>
      <c r="K1066" s="15" t="s">
        <v>1950</v>
      </c>
    </row>
    <row r="1067" spans="1:11" hidden="1" x14ac:dyDescent="0.25">
      <c r="A1067" s="11" t="s">
        <v>21</v>
      </c>
      <c r="H1067" s="14" t="s">
        <v>110</v>
      </c>
      <c r="I1067" s="14" t="s">
        <v>110</v>
      </c>
      <c r="K1067" s="15" t="s">
        <v>1954</v>
      </c>
    </row>
    <row r="1068" spans="1:11" hidden="1" x14ac:dyDescent="0.25">
      <c r="A1068" s="11" t="s">
        <v>21</v>
      </c>
      <c r="H1068" s="14" t="s">
        <v>110</v>
      </c>
      <c r="I1068" s="14" t="s">
        <v>110</v>
      </c>
      <c r="K1068" s="15" t="s">
        <v>1955</v>
      </c>
    </row>
    <row r="1069" spans="1:11" hidden="1" x14ac:dyDescent="0.25">
      <c r="A1069" s="11" t="s">
        <v>21</v>
      </c>
      <c r="H1069" s="14" t="s">
        <v>110</v>
      </c>
      <c r="I1069" s="14" t="s">
        <v>110</v>
      </c>
      <c r="K1069" s="15" t="s">
        <v>1971</v>
      </c>
    </row>
    <row r="1070" spans="1:11" hidden="1" x14ac:dyDescent="0.25">
      <c r="A1070" s="11" t="s">
        <v>21</v>
      </c>
      <c r="H1070" s="14" t="s">
        <v>110</v>
      </c>
      <c r="I1070" s="14" t="s">
        <v>110</v>
      </c>
      <c r="K1070" s="15" t="s">
        <v>2048</v>
      </c>
    </row>
    <row r="1071" spans="1:11" hidden="1" x14ac:dyDescent="0.25">
      <c r="A1071" s="11" t="s">
        <v>21</v>
      </c>
      <c r="H1071" s="14" t="s">
        <v>110</v>
      </c>
      <c r="I1071" s="14" t="s">
        <v>110</v>
      </c>
      <c r="K1071" s="15" t="s">
        <v>2049</v>
      </c>
    </row>
    <row r="1072" spans="1:11" hidden="1" x14ac:dyDescent="0.25">
      <c r="A1072" s="11" t="s">
        <v>21</v>
      </c>
      <c r="H1072" s="14" t="s">
        <v>110</v>
      </c>
      <c r="I1072" s="14" t="s">
        <v>110</v>
      </c>
      <c r="K1072" s="15" t="s">
        <v>2050</v>
      </c>
    </row>
    <row r="1073" spans="1:11" hidden="1" x14ac:dyDescent="0.25">
      <c r="A1073" s="11" t="s">
        <v>21</v>
      </c>
      <c r="H1073" s="14" t="s">
        <v>110</v>
      </c>
      <c r="I1073" s="14" t="s">
        <v>110</v>
      </c>
      <c r="K1073" s="15" t="s">
        <v>2062</v>
      </c>
    </row>
    <row r="1074" spans="1:11" hidden="1" x14ac:dyDescent="0.25">
      <c r="A1074" s="11" t="s">
        <v>21</v>
      </c>
      <c r="H1074" s="14" t="s">
        <v>110</v>
      </c>
      <c r="I1074" s="14" t="s">
        <v>110</v>
      </c>
      <c r="K1074" s="15" t="s">
        <v>2063</v>
      </c>
    </row>
    <row r="1075" spans="1:11" hidden="1" x14ac:dyDescent="0.25">
      <c r="A1075" s="11" t="s">
        <v>21</v>
      </c>
      <c r="H1075" s="14" t="s">
        <v>110</v>
      </c>
      <c r="I1075" s="14" t="s">
        <v>110</v>
      </c>
      <c r="K1075" s="15" t="s">
        <v>2064</v>
      </c>
    </row>
    <row r="1076" spans="1:11" hidden="1" x14ac:dyDescent="0.25">
      <c r="A1076" s="11" t="s">
        <v>21</v>
      </c>
      <c r="H1076" s="14" t="s">
        <v>110</v>
      </c>
      <c r="I1076" s="14" t="s">
        <v>110</v>
      </c>
      <c r="K1076" s="15" t="s">
        <v>2065</v>
      </c>
    </row>
    <row r="1077" spans="1:11" hidden="1" x14ac:dyDescent="0.25">
      <c r="A1077" s="11" t="s">
        <v>21</v>
      </c>
      <c r="H1077" s="14" t="s">
        <v>110</v>
      </c>
      <c r="I1077" s="14" t="s">
        <v>110</v>
      </c>
      <c r="K1077" s="15" t="s">
        <v>2066</v>
      </c>
    </row>
    <row r="1078" spans="1:11" hidden="1" x14ac:dyDescent="0.25">
      <c r="A1078" s="11" t="s">
        <v>21</v>
      </c>
      <c r="H1078" s="14" t="s">
        <v>110</v>
      </c>
      <c r="I1078" s="14" t="s">
        <v>110</v>
      </c>
      <c r="K1078" s="15" t="s">
        <v>2067</v>
      </c>
    </row>
    <row r="1079" spans="1:11" hidden="1" x14ac:dyDescent="0.25">
      <c r="A1079" s="11" t="s">
        <v>21</v>
      </c>
      <c r="H1079" s="14" t="s">
        <v>110</v>
      </c>
      <c r="I1079" s="14" t="s">
        <v>110</v>
      </c>
      <c r="K1079" s="15" t="s">
        <v>2068</v>
      </c>
    </row>
    <row r="1080" spans="1:11" hidden="1" x14ac:dyDescent="0.25">
      <c r="A1080" s="11" t="s">
        <v>21</v>
      </c>
      <c r="H1080" s="14" t="s">
        <v>110</v>
      </c>
      <c r="I1080" s="14" t="s">
        <v>110</v>
      </c>
      <c r="K1080" s="15" t="s">
        <v>2072</v>
      </c>
    </row>
    <row r="1081" spans="1:11" hidden="1" x14ac:dyDescent="0.25">
      <c r="A1081" s="11" t="s">
        <v>21</v>
      </c>
      <c r="H1081" s="14" t="s">
        <v>110</v>
      </c>
      <c r="I1081" s="14" t="s">
        <v>110</v>
      </c>
      <c r="K1081" s="15" t="s">
        <v>2073</v>
      </c>
    </row>
    <row r="1082" spans="1:11" hidden="1" x14ac:dyDescent="0.25">
      <c r="A1082" s="11" t="s">
        <v>21</v>
      </c>
      <c r="H1082" s="14" t="s">
        <v>110</v>
      </c>
      <c r="I1082" s="14" t="s">
        <v>110</v>
      </c>
      <c r="K1082" s="15" t="s">
        <v>2074</v>
      </c>
    </row>
    <row r="1083" spans="1:11" hidden="1" x14ac:dyDescent="0.25">
      <c r="A1083" s="11" t="s">
        <v>21</v>
      </c>
      <c r="H1083" s="14" t="s">
        <v>110</v>
      </c>
      <c r="I1083" s="14" t="s">
        <v>110</v>
      </c>
      <c r="K1083" s="15" t="s">
        <v>2075</v>
      </c>
    </row>
    <row r="1084" spans="1:11" hidden="1" x14ac:dyDescent="0.25">
      <c r="A1084" s="11" t="s">
        <v>21</v>
      </c>
      <c r="H1084" s="14" t="s">
        <v>110</v>
      </c>
      <c r="I1084" s="14" t="s">
        <v>110</v>
      </c>
      <c r="K1084" s="15" t="s">
        <v>2081</v>
      </c>
    </row>
    <row r="1085" spans="1:11" hidden="1" x14ac:dyDescent="0.25">
      <c r="A1085" s="11" t="s">
        <v>21</v>
      </c>
      <c r="H1085" s="14" t="s">
        <v>110</v>
      </c>
      <c r="I1085" s="14" t="s">
        <v>110</v>
      </c>
      <c r="K1085" s="15" t="s">
        <v>2082</v>
      </c>
    </row>
    <row r="1086" spans="1:11" hidden="1" x14ac:dyDescent="0.25">
      <c r="A1086" s="11" t="s">
        <v>21</v>
      </c>
      <c r="H1086" s="14" t="s">
        <v>110</v>
      </c>
      <c r="I1086" s="14" t="s">
        <v>110</v>
      </c>
      <c r="K1086" s="15" t="s">
        <v>2083</v>
      </c>
    </row>
    <row r="1087" spans="1:11" hidden="1" x14ac:dyDescent="0.25">
      <c r="A1087" s="11" t="s">
        <v>21</v>
      </c>
      <c r="H1087" s="14" t="s">
        <v>110</v>
      </c>
      <c r="I1087" s="14" t="s">
        <v>110</v>
      </c>
      <c r="K1087" s="15" t="s">
        <v>2084</v>
      </c>
    </row>
    <row r="1088" spans="1:11" hidden="1" x14ac:dyDescent="0.25">
      <c r="A1088" s="11" t="s">
        <v>21</v>
      </c>
      <c r="H1088" s="14" t="s">
        <v>110</v>
      </c>
      <c r="I1088" s="14" t="s">
        <v>110</v>
      </c>
      <c r="K1088" s="15" t="s">
        <v>2095</v>
      </c>
    </row>
    <row r="1089" spans="1:11" hidden="1" x14ac:dyDescent="0.25">
      <c r="A1089" s="11" t="s">
        <v>21</v>
      </c>
      <c r="H1089" s="14" t="s">
        <v>110</v>
      </c>
      <c r="I1089" s="14" t="s">
        <v>110</v>
      </c>
      <c r="K1089" s="15" t="s">
        <v>2096</v>
      </c>
    </row>
    <row r="1090" spans="1:11" hidden="1" x14ac:dyDescent="0.25">
      <c r="A1090" s="11" t="s">
        <v>21</v>
      </c>
      <c r="H1090" s="14" t="s">
        <v>110</v>
      </c>
      <c r="I1090" s="14" t="s">
        <v>110</v>
      </c>
      <c r="K1090" s="15" t="s">
        <v>2097</v>
      </c>
    </row>
    <row r="1091" spans="1:11" hidden="1" x14ac:dyDescent="0.25">
      <c r="A1091" s="11" t="s">
        <v>21</v>
      </c>
      <c r="H1091" s="14" t="s">
        <v>110</v>
      </c>
      <c r="I1091" s="14" t="s">
        <v>110</v>
      </c>
      <c r="K1091" s="15" t="s">
        <v>2098</v>
      </c>
    </row>
    <row r="1092" spans="1:11" hidden="1" x14ac:dyDescent="0.25">
      <c r="A1092" s="11" t="s">
        <v>21</v>
      </c>
      <c r="H1092" s="14" t="s">
        <v>110</v>
      </c>
      <c r="I1092" s="14" t="s">
        <v>110</v>
      </c>
      <c r="K1092" s="15" t="s">
        <v>2099</v>
      </c>
    </row>
    <row r="1093" spans="1:11" hidden="1" x14ac:dyDescent="0.25">
      <c r="A1093" s="11" t="s">
        <v>21</v>
      </c>
      <c r="H1093" s="14" t="s">
        <v>110</v>
      </c>
      <c r="I1093" s="14" t="s">
        <v>110</v>
      </c>
      <c r="K1093" s="15" t="s">
        <v>2100</v>
      </c>
    </row>
    <row r="1094" spans="1:11" hidden="1" x14ac:dyDescent="0.25">
      <c r="A1094" s="11" t="s">
        <v>21</v>
      </c>
      <c r="H1094" s="14" t="s">
        <v>110</v>
      </c>
      <c r="I1094" s="14" t="s">
        <v>110</v>
      </c>
      <c r="K1094" s="15" t="s">
        <v>2101</v>
      </c>
    </row>
    <row r="1095" spans="1:11" hidden="1" x14ac:dyDescent="0.25">
      <c r="A1095" s="11" t="s">
        <v>21</v>
      </c>
      <c r="H1095" s="14" t="s">
        <v>110</v>
      </c>
      <c r="I1095" s="14" t="s">
        <v>110</v>
      </c>
      <c r="K1095" s="15" t="s">
        <v>2102</v>
      </c>
    </row>
    <row r="1096" spans="1:11" hidden="1" x14ac:dyDescent="0.25">
      <c r="A1096" s="11" t="s">
        <v>21</v>
      </c>
      <c r="H1096" s="14" t="s">
        <v>110</v>
      </c>
      <c r="I1096" s="14" t="s">
        <v>110</v>
      </c>
      <c r="K1096" s="15" t="s">
        <v>2103</v>
      </c>
    </row>
    <row r="1097" spans="1:11" hidden="1" x14ac:dyDescent="0.25">
      <c r="A1097" s="11" t="s">
        <v>21</v>
      </c>
      <c r="H1097" s="14" t="s">
        <v>110</v>
      </c>
      <c r="I1097" s="14" t="s">
        <v>110</v>
      </c>
      <c r="K1097" s="15" t="s">
        <v>2104</v>
      </c>
    </row>
    <row r="1098" spans="1:11" hidden="1" x14ac:dyDescent="0.25">
      <c r="A1098" s="11" t="s">
        <v>21</v>
      </c>
      <c r="H1098" s="14" t="s">
        <v>110</v>
      </c>
      <c r="I1098" s="14" t="s">
        <v>110</v>
      </c>
      <c r="K1098" s="15" t="s">
        <v>2105</v>
      </c>
    </row>
    <row r="1099" spans="1:11" hidden="1" x14ac:dyDescent="0.25">
      <c r="A1099" s="11" t="s">
        <v>21</v>
      </c>
      <c r="H1099" s="14" t="s">
        <v>110</v>
      </c>
      <c r="I1099" s="14" t="s">
        <v>110</v>
      </c>
      <c r="K1099" s="15" t="s">
        <v>2106</v>
      </c>
    </row>
    <row r="1100" spans="1:11" hidden="1" x14ac:dyDescent="0.25">
      <c r="A1100" s="11" t="s">
        <v>21</v>
      </c>
      <c r="H1100" s="14" t="s">
        <v>110</v>
      </c>
      <c r="I1100" s="14" t="s">
        <v>110</v>
      </c>
      <c r="K1100" s="15" t="s">
        <v>2107</v>
      </c>
    </row>
    <row r="1101" spans="1:11" hidden="1" x14ac:dyDescent="0.25">
      <c r="A1101" s="11" t="s">
        <v>21</v>
      </c>
      <c r="H1101" s="14" t="s">
        <v>110</v>
      </c>
      <c r="I1101" s="14" t="s">
        <v>110</v>
      </c>
      <c r="K1101" s="15" t="s">
        <v>2108</v>
      </c>
    </row>
    <row r="1102" spans="1:11" hidden="1" x14ac:dyDescent="0.25">
      <c r="A1102" s="11" t="s">
        <v>21</v>
      </c>
      <c r="H1102" s="14" t="s">
        <v>110</v>
      </c>
      <c r="I1102" s="14" t="s">
        <v>110</v>
      </c>
      <c r="K1102" s="15" t="s">
        <v>2154</v>
      </c>
    </row>
    <row r="1103" spans="1:11" hidden="1" x14ac:dyDescent="0.25">
      <c r="A1103" s="11" t="s">
        <v>21</v>
      </c>
      <c r="H1103" s="14" t="s">
        <v>110</v>
      </c>
      <c r="I1103" s="14" t="s">
        <v>110</v>
      </c>
      <c r="K1103" s="15" t="s">
        <v>2155</v>
      </c>
    </row>
    <row r="1104" spans="1:11" hidden="1" x14ac:dyDescent="0.25">
      <c r="A1104" s="11" t="s">
        <v>21</v>
      </c>
      <c r="H1104" s="14" t="s">
        <v>110</v>
      </c>
      <c r="I1104" s="14" t="s">
        <v>110</v>
      </c>
      <c r="K1104" s="15" t="s">
        <v>2156</v>
      </c>
    </row>
    <row r="1105" spans="1:11" hidden="1" x14ac:dyDescent="0.25">
      <c r="A1105" s="11" t="s">
        <v>21</v>
      </c>
      <c r="H1105" s="14" t="s">
        <v>110</v>
      </c>
      <c r="I1105" s="14" t="s">
        <v>110</v>
      </c>
      <c r="K1105" s="15" t="s">
        <v>2157</v>
      </c>
    </row>
    <row r="1106" spans="1:11" hidden="1" x14ac:dyDescent="0.25">
      <c r="A1106" s="11" t="s">
        <v>21</v>
      </c>
      <c r="H1106" s="14" t="s">
        <v>110</v>
      </c>
      <c r="I1106" s="14" t="s">
        <v>110</v>
      </c>
      <c r="K1106" s="15" t="s">
        <v>2158</v>
      </c>
    </row>
    <row r="1107" spans="1:11" hidden="1" x14ac:dyDescent="0.25">
      <c r="A1107" s="11" t="s">
        <v>21</v>
      </c>
      <c r="H1107" s="14" t="s">
        <v>110</v>
      </c>
      <c r="I1107" s="14" t="s">
        <v>110</v>
      </c>
      <c r="K1107" s="15" t="s">
        <v>2159</v>
      </c>
    </row>
    <row r="1108" spans="1:11" hidden="1" x14ac:dyDescent="0.25">
      <c r="A1108" s="11" t="s">
        <v>21</v>
      </c>
      <c r="H1108" s="14" t="s">
        <v>110</v>
      </c>
      <c r="I1108" s="14" t="s">
        <v>110</v>
      </c>
      <c r="K1108" s="15" t="s">
        <v>2160</v>
      </c>
    </row>
    <row r="1109" spans="1:11" hidden="1" x14ac:dyDescent="0.25">
      <c r="A1109" s="11" t="s">
        <v>21</v>
      </c>
      <c r="H1109" s="14" t="s">
        <v>110</v>
      </c>
      <c r="I1109" s="14" t="s">
        <v>110</v>
      </c>
      <c r="K1109" s="15" t="s">
        <v>2161</v>
      </c>
    </row>
    <row r="1110" spans="1:11" hidden="1" x14ac:dyDescent="0.25">
      <c r="A1110" s="11" t="s">
        <v>21</v>
      </c>
      <c r="H1110" s="14" t="s">
        <v>110</v>
      </c>
      <c r="I1110" s="14" t="s">
        <v>110</v>
      </c>
      <c r="K1110" s="15" t="s">
        <v>2162</v>
      </c>
    </row>
    <row r="1111" spans="1:11" hidden="1" x14ac:dyDescent="0.25">
      <c r="A1111" s="11" t="s">
        <v>21</v>
      </c>
      <c r="H1111" s="14" t="s">
        <v>110</v>
      </c>
      <c r="I1111" s="14" t="s">
        <v>110</v>
      </c>
      <c r="K1111" s="15" t="s">
        <v>2163</v>
      </c>
    </row>
    <row r="1112" spans="1:11" hidden="1" x14ac:dyDescent="0.25">
      <c r="A1112" s="11" t="s">
        <v>21</v>
      </c>
      <c r="H1112" s="14" t="s">
        <v>110</v>
      </c>
      <c r="I1112" s="14" t="s">
        <v>110</v>
      </c>
      <c r="K1112" s="15" t="s">
        <v>2164</v>
      </c>
    </row>
    <row r="1113" spans="1:11" hidden="1" x14ac:dyDescent="0.25">
      <c r="A1113" s="11" t="s">
        <v>21</v>
      </c>
      <c r="H1113" s="14" t="s">
        <v>110</v>
      </c>
      <c r="I1113" s="14" t="s">
        <v>110</v>
      </c>
      <c r="K1113" s="15" t="s">
        <v>2188</v>
      </c>
    </row>
    <row r="1114" spans="1:11" hidden="1" x14ac:dyDescent="0.25">
      <c r="A1114" s="11" t="s">
        <v>21</v>
      </c>
      <c r="H1114" s="14" t="s">
        <v>110</v>
      </c>
      <c r="I1114" s="14" t="s">
        <v>110</v>
      </c>
      <c r="K1114" s="15" t="s">
        <v>2189</v>
      </c>
    </row>
    <row r="1115" spans="1:11" hidden="1" x14ac:dyDescent="0.25">
      <c r="A1115" s="11" t="s">
        <v>21</v>
      </c>
      <c r="H1115" s="14" t="s">
        <v>110</v>
      </c>
      <c r="I1115" s="14" t="s">
        <v>110</v>
      </c>
      <c r="K1115" s="15" t="s">
        <v>2190</v>
      </c>
    </row>
    <row r="1116" spans="1:11" hidden="1" x14ac:dyDescent="0.25">
      <c r="A1116" s="11" t="s">
        <v>21</v>
      </c>
      <c r="H1116" s="14" t="s">
        <v>110</v>
      </c>
      <c r="I1116" s="14" t="s">
        <v>110</v>
      </c>
      <c r="K1116" s="15" t="s">
        <v>2206</v>
      </c>
    </row>
    <row r="1117" spans="1:11" hidden="1" x14ac:dyDescent="0.25">
      <c r="A1117" s="11" t="s">
        <v>21</v>
      </c>
      <c r="H1117" s="14" t="s">
        <v>110</v>
      </c>
      <c r="I1117" s="14" t="s">
        <v>110</v>
      </c>
      <c r="K1117" s="15" t="s">
        <v>2207</v>
      </c>
    </row>
    <row r="1118" spans="1:11" hidden="1" x14ac:dyDescent="0.25">
      <c r="A1118" s="11" t="s">
        <v>21</v>
      </c>
      <c r="H1118" s="14" t="s">
        <v>110</v>
      </c>
      <c r="I1118" s="14" t="s">
        <v>110</v>
      </c>
      <c r="K1118" s="15" t="s">
        <v>2208</v>
      </c>
    </row>
    <row r="1119" spans="1:11" hidden="1" x14ac:dyDescent="0.25">
      <c r="A1119" s="11" t="s">
        <v>21</v>
      </c>
      <c r="H1119" s="14" t="s">
        <v>110</v>
      </c>
      <c r="I1119" s="14" t="s">
        <v>110</v>
      </c>
      <c r="K1119" s="15" t="s">
        <v>2209</v>
      </c>
    </row>
    <row r="1120" spans="1:11" hidden="1" x14ac:dyDescent="0.25">
      <c r="A1120" s="11" t="s">
        <v>21</v>
      </c>
      <c r="H1120" s="14" t="s">
        <v>110</v>
      </c>
      <c r="I1120" s="14" t="s">
        <v>110</v>
      </c>
      <c r="K1120" s="15" t="s">
        <v>2210</v>
      </c>
    </row>
    <row r="1121" spans="1:11" hidden="1" x14ac:dyDescent="0.25">
      <c r="A1121" s="11" t="s">
        <v>21</v>
      </c>
      <c r="H1121" s="14" t="s">
        <v>110</v>
      </c>
      <c r="I1121" s="14" t="s">
        <v>110</v>
      </c>
      <c r="K1121" s="15" t="s">
        <v>2214</v>
      </c>
    </row>
    <row r="1122" spans="1:11" hidden="1" x14ac:dyDescent="0.25">
      <c r="A1122" s="11" t="s">
        <v>21</v>
      </c>
      <c r="H1122" s="14" t="s">
        <v>110</v>
      </c>
      <c r="I1122" s="14" t="s">
        <v>110</v>
      </c>
      <c r="K1122" s="15" t="s">
        <v>2215</v>
      </c>
    </row>
    <row r="1123" spans="1:11" hidden="1" x14ac:dyDescent="0.25">
      <c r="A1123" s="11" t="s">
        <v>21</v>
      </c>
      <c r="H1123" s="14" t="s">
        <v>110</v>
      </c>
      <c r="I1123" s="14" t="s">
        <v>110</v>
      </c>
      <c r="K1123" s="15" t="s">
        <v>2216</v>
      </c>
    </row>
    <row r="1124" spans="1:11" hidden="1" x14ac:dyDescent="0.25">
      <c r="A1124" s="11" t="s">
        <v>21</v>
      </c>
      <c r="H1124" s="14" t="s">
        <v>110</v>
      </c>
      <c r="I1124" s="14" t="s">
        <v>110</v>
      </c>
      <c r="K1124" s="15" t="s">
        <v>2217</v>
      </c>
    </row>
    <row r="1125" spans="1:11" hidden="1" x14ac:dyDescent="0.25">
      <c r="A1125" s="11" t="s">
        <v>21</v>
      </c>
      <c r="H1125" s="14" t="s">
        <v>110</v>
      </c>
      <c r="I1125" s="14" t="s">
        <v>110</v>
      </c>
      <c r="K1125" s="15" t="s">
        <v>2218</v>
      </c>
    </row>
    <row r="1126" spans="1:11" hidden="1" x14ac:dyDescent="0.25">
      <c r="A1126" s="11" t="s">
        <v>21</v>
      </c>
      <c r="H1126" s="14" t="s">
        <v>110</v>
      </c>
      <c r="I1126" s="14" t="s">
        <v>110</v>
      </c>
      <c r="K1126" s="15" t="s">
        <v>2219</v>
      </c>
    </row>
    <row r="1127" spans="1:11" hidden="1" x14ac:dyDescent="0.25">
      <c r="A1127" s="11" t="s">
        <v>21</v>
      </c>
      <c r="H1127" s="14" t="s">
        <v>110</v>
      </c>
      <c r="I1127" s="14" t="s">
        <v>110</v>
      </c>
      <c r="K1127" s="15" t="s">
        <v>2220</v>
      </c>
    </row>
    <row r="1128" spans="1:11" hidden="1" x14ac:dyDescent="0.25">
      <c r="A1128" s="11" t="s">
        <v>21</v>
      </c>
      <c r="H1128" s="14" t="s">
        <v>110</v>
      </c>
      <c r="I1128" s="14" t="s">
        <v>110</v>
      </c>
      <c r="K1128" s="15" t="s">
        <v>2221</v>
      </c>
    </row>
    <row r="1129" spans="1:11" hidden="1" x14ac:dyDescent="0.25">
      <c r="A1129" s="11" t="s">
        <v>21</v>
      </c>
      <c r="H1129" s="14" t="s">
        <v>110</v>
      </c>
      <c r="I1129" s="14" t="s">
        <v>110</v>
      </c>
      <c r="K1129" s="15" t="s">
        <v>2222</v>
      </c>
    </row>
    <row r="1130" spans="1:11" hidden="1" x14ac:dyDescent="0.25">
      <c r="A1130" s="11" t="s">
        <v>21</v>
      </c>
      <c r="H1130" s="14" t="s">
        <v>110</v>
      </c>
      <c r="I1130" s="14" t="s">
        <v>110</v>
      </c>
      <c r="K1130" s="15" t="s">
        <v>2223</v>
      </c>
    </row>
    <row r="1131" spans="1:11" hidden="1" x14ac:dyDescent="0.25">
      <c r="A1131" s="11" t="s">
        <v>21</v>
      </c>
      <c r="H1131" s="14" t="s">
        <v>110</v>
      </c>
      <c r="I1131" s="14" t="s">
        <v>110</v>
      </c>
      <c r="K1131" s="15" t="s">
        <v>2224</v>
      </c>
    </row>
    <row r="1132" spans="1:11" hidden="1" x14ac:dyDescent="0.25">
      <c r="A1132" s="11" t="s">
        <v>21</v>
      </c>
      <c r="H1132" s="14" t="s">
        <v>110</v>
      </c>
      <c r="I1132" s="14" t="s">
        <v>110</v>
      </c>
      <c r="K1132" s="15" t="s">
        <v>2225</v>
      </c>
    </row>
    <row r="1133" spans="1:11" hidden="1" x14ac:dyDescent="0.25">
      <c r="A1133" s="11" t="s">
        <v>21</v>
      </c>
      <c r="H1133" s="14" t="s">
        <v>110</v>
      </c>
      <c r="I1133" s="14" t="s">
        <v>110</v>
      </c>
      <c r="K1133" s="15" t="s">
        <v>2226</v>
      </c>
    </row>
    <row r="1134" spans="1:11" hidden="1" x14ac:dyDescent="0.25">
      <c r="A1134" s="11" t="s">
        <v>21</v>
      </c>
      <c r="H1134" s="14" t="s">
        <v>110</v>
      </c>
      <c r="I1134" s="14" t="s">
        <v>110</v>
      </c>
      <c r="K1134" s="15" t="s">
        <v>2227</v>
      </c>
    </row>
    <row r="1135" spans="1:11" hidden="1" x14ac:dyDescent="0.25">
      <c r="A1135" s="11" t="s">
        <v>21</v>
      </c>
      <c r="H1135" s="14" t="s">
        <v>110</v>
      </c>
      <c r="I1135" s="14" t="s">
        <v>110</v>
      </c>
      <c r="K1135" s="15" t="s">
        <v>2228</v>
      </c>
    </row>
    <row r="1136" spans="1:11" hidden="1" x14ac:dyDescent="0.25">
      <c r="A1136" s="11" t="s">
        <v>21</v>
      </c>
      <c r="H1136" s="14" t="s">
        <v>110</v>
      </c>
      <c r="I1136" s="14" t="s">
        <v>110</v>
      </c>
      <c r="K1136" s="15" t="s">
        <v>2229</v>
      </c>
    </row>
    <row r="1137" spans="1:11" hidden="1" x14ac:dyDescent="0.25">
      <c r="A1137" s="11" t="s">
        <v>21</v>
      </c>
      <c r="H1137" s="14" t="s">
        <v>110</v>
      </c>
      <c r="I1137" s="14" t="s">
        <v>110</v>
      </c>
      <c r="K1137" s="15" t="s">
        <v>2230</v>
      </c>
    </row>
    <row r="1138" spans="1:11" hidden="1" x14ac:dyDescent="0.25">
      <c r="A1138" s="11" t="s">
        <v>21</v>
      </c>
      <c r="H1138" s="14" t="s">
        <v>110</v>
      </c>
      <c r="I1138" s="14" t="s">
        <v>110</v>
      </c>
      <c r="K1138" s="15" t="s">
        <v>2231</v>
      </c>
    </row>
    <row r="1139" spans="1:11" hidden="1" x14ac:dyDescent="0.25">
      <c r="A1139" s="11" t="s">
        <v>21</v>
      </c>
      <c r="H1139" s="14" t="s">
        <v>110</v>
      </c>
      <c r="I1139" s="14" t="s">
        <v>110</v>
      </c>
      <c r="K1139" s="15" t="s">
        <v>2232</v>
      </c>
    </row>
    <row r="1140" spans="1:11" hidden="1" x14ac:dyDescent="0.25">
      <c r="A1140" s="11" t="s">
        <v>21</v>
      </c>
      <c r="H1140" s="14" t="s">
        <v>110</v>
      </c>
      <c r="I1140" s="14" t="s">
        <v>110</v>
      </c>
      <c r="K1140" s="15" t="s">
        <v>2233</v>
      </c>
    </row>
    <row r="1141" spans="1:11" hidden="1" x14ac:dyDescent="0.25">
      <c r="A1141" s="11" t="s">
        <v>21</v>
      </c>
      <c r="H1141" s="14" t="s">
        <v>110</v>
      </c>
      <c r="I1141" s="14" t="s">
        <v>110</v>
      </c>
      <c r="K1141" s="15" t="s">
        <v>2234</v>
      </c>
    </row>
    <row r="1142" spans="1:11" hidden="1" x14ac:dyDescent="0.25">
      <c r="A1142" s="11" t="s">
        <v>21</v>
      </c>
      <c r="H1142" s="14" t="s">
        <v>110</v>
      </c>
      <c r="I1142" s="14" t="s">
        <v>110</v>
      </c>
      <c r="K1142" s="15" t="s">
        <v>2235</v>
      </c>
    </row>
    <row r="1143" spans="1:11" hidden="1" x14ac:dyDescent="0.25">
      <c r="A1143" s="11" t="s">
        <v>21</v>
      </c>
      <c r="H1143" s="14" t="s">
        <v>110</v>
      </c>
      <c r="I1143" s="14" t="s">
        <v>110</v>
      </c>
      <c r="K1143" s="15" t="s">
        <v>2236</v>
      </c>
    </row>
    <row r="1144" spans="1:11" hidden="1" x14ac:dyDescent="0.25">
      <c r="A1144" s="11" t="s">
        <v>21</v>
      </c>
      <c r="H1144" s="14" t="s">
        <v>110</v>
      </c>
      <c r="I1144" s="14" t="s">
        <v>110</v>
      </c>
      <c r="K1144" s="15" t="s">
        <v>2237</v>
      </c>
    </row>
    <row r="1145" spans="1:11" hidden="1" x14ac:dyDescent="0.25">
      <c r="A1145" s="11" t="s">
        <v>0</v>
      </c>
      <c r="H1145" s="14" t="s">
        <v>110</v>
      </c>
      <c r="I1145" s="14" t="s">
        <v>110</v>
      </c>
      <c r="K1145" s="15" t="s">
        <v>2355</v>
      </c>
    </row>
    <row r="1146" spans="1:11" hidden="1" x14ac:dyDescent="0.25">
      <c r="A1146" s="11" t="s">
        <v>0</v>
      </c>
      <c r="H1146" s="14" t="s">
        <v>110</v>
      </c>
      <c r="I1146" s="14" t="s">
        <v>110</v>
      </c>
      <c r="K1146" s="15" t="s">
        <v>2356</v>
      </c>
    </row>
    <row r="1147" spans="1:11" hidden="1" x14ac:dyDescent="0.25">
      <c r="A1147" s="11" t="s">
        <v>21</v>
      </c>
      <c r="H1147" s="14" t="s">
        <v>110</v>
      </c>
      <c r="I1147" s="14" t="s">
        <v>110</v>
      </c>
      <c r="K1147" s="15" t="s">
        <v>2668</v>
      </c>
    </row>
    <row r="1148" spans="1:11" hidden="1" x14ac:dyDescent="0.25">
      <c r="A1148" s="11" t="s">
        <v>21</v>
      </c>
      <c r="H1148" s="14" t="s">
        <v>110</v>
      </c>
      <c r="I1148" s="14" t="s">
        <v>110</v>
      </c>
      <c r="K1148" s="15" t="s">
        <v>2669</v>
      </c>
    </row>
    <row r="1149" spans="1:11" hidden="1" x14ac:dyDescent="0.25">
      <c r="A1149" s="11" t="s">
        <v>21</v>
      </c>
      <c r="H1149" s="14" t="s">
        <v>110</v>
      </c>
      <c r="I1149" s="14" t="s">
        <v>110</v>
      </c>
      <c r="K1149" s="15" t="s">
        <v>2670</v>
      </c>
    </row>
    <row r="1150" spans="1:11" hidden="1" x14ac:dyDescent="0.25">
      <c r="A1150" s="11" t="s">
        <v>21</v>
      </c>
      <c r="H1150" s="14" t="s">
        <v>110</v>
      </c>
      <c r="I1150" s="14" t="s">
        <v>110</v>
      </c>
      <c r="K1150" s="15" t="s">
        <v>2671</v>
      </c>
    </row>
    <row r="1151" spans="1:11" hidden="1" x14ac:dyDescent="0.25">
      <c r="A1151" s="11" t="s">
        <v>21</v>
      </c>
      <c r="H1151" s="14" t="s">
        <v>110</v>
      </c>
      <c r="I1151" s="14" t="s">
        <v>110</v>
      </c>
      <c r="K1151" s="15" t="s">
        <v>2710</v>
      </c>
    </row>
    <row r="1152" spans="1:11" hidden="1" x14ac:dyDescent="0.25">
      <c r="A1152" s="11" t="s">
        <v>21</v>
      </c>
      <c r="H1152" s="14" t="s">
        <v>110</v>
      </c>
      <c r="I1152" s="14" t="s">
        <v>110</v>
      </c>
      <c r="K1152" s="15" t="s">
        <v>2711</v>
      </c>
    </row>
    <row r="1153" spans="1:11" hidden="1" x14ac:dyDescent="0.25">
      <c r="A1153" s="11" t="s">
        <v>21</v>
      </c>
      <c r="H1153" s="14" t="s">
        <v>110</v>
      </c>
      <c r="I1153" s="14" t="s">
        <v>110</v>
      </c>
      <c r="K1153" s="15" t="s">
        <v>2712</v>
      </c>
    </row>
    <row r="1154" spans="1:11" hidden="1" x14ac:dyDescent="0.25">
      <c r="A1154" s="11" t="s">
        <v>21</v>
      </c>
      <c r="H1154" s="14" t="s">
        <v>110</v>
      </c>
      <c r="I1154" s="14" t="s">
        <v>110</v>
      </c>
      <c r="K1154" s="15" t="s">
        <v>2713</v>
      </c>
    </row>
    <row r="1155" spans="1:11" hidden="1" x14ac:dyDescent="0.25">
      <c r="A1155" s="11" t="s">
        <v>21</v>
      </c>
      <c r="H1155" s="14" t="s">
        <v>110</v>
      </c>
      <c r="I1155" s="14" t="s">
        <v>110</v>
      </c>
      <c r="K1155" s="15" t="s">
        <v>2720</v>
      </c>
    </row>
    <row r="1156" spans="1:11" hidden="1" x14ac:dyDescent="0.25">
      <c r="A1156" s="11" t="s">
        <v>21</v>
      </c>
      <c r="H1156" s="14" t="s">
        <v>110</v>
      </c>
      <c r="I1156" s="14" t="s">
        <v>110</v>
      </c>
      <c r="K1156" s="15" t="s">
        <v>2728</v>
      </c>
    </row>
    <row r="1157" spans="1:11" hidden="1" x14ac:dyDescent="0.25">
      <c r="A1157" s="11" t="s">
        <v>21</v>
      </c>
      <c r="H1157" s="14" t="s">
        <v>110</v>
      </c>
      <c r="I1157" s="14" t="s">
        <v>110</v>
      </c>
      <c r="K1157" s="15" t="s">
        <v>2742</v>
      </c>
    </row>
    <row r="1158" spans="1:11" hidden="1" x14ac:dyDescent="0.25">
      <c r="A1158" s="11" t="s">
        <v>21</v>
      </c>
      <c r="H1158" s="14" t="s">
        <v>110</v>
      </c>
      <c r="I1158" s="14" t="s">
        <v>110</v>
      </c>
      <c r="K1158" s="15" t="s">
        <v>2743</v>
      </c>
    </row>
    <row r="1159" spans="1:11" hidden="1" x14ac:dyDescent="0.25">
      <c r="A1159" s="11" t="s">
        <v>21</v>
      </c>
      <c r="H1159" s="14" t="s">
        <v>110</v>
      </c>
      <c r="I1159" s="14" t="s">
        <v>110</v>
      </c>
      <c r="K1159" s="15" t="s">
        <v>2744</v>
      </c>
    </row>
    <row r="1160" spans="1:11" hidden="1" x14ac:dyDescent="0.25">
      <c r="A1160" s="11" t="s">
        <v>2</v>
      </c>
      <c r="H1160" s="14" t="s">
        <v>110</v>
      </c>
      <c r="I1160" s="14" t="s">
        <v>110</v>
      </c>
      <c r="K1160" s="15" t="s">
        <v>2781</v>
      </c>
    </row>
    <row r="1161" spans="1:11" hidden="1" x14ac:dyDescent="0.25">
      <c r="A1161" s="11" t="s">
        <v>2</v>
      </c>
      <c r="H1161" s="14" t="s">
        <v>110</v>
      </c>
      <c r="I1161" s="14" t="s">
        <v>110</v>
      </c>
      <c r="K1161" s="15" t="s">
        <v>2782</v>
      </c>
    </row>
    <row r="1162" spans="1:11" hidden="1" x14ac:dyDescent="0.25">
      <c r="A1162" s="11" t="s">
        <v>2</v>
      </c>
      <c r="H1162" s="14" t="s">
        <v>110</v>
      </c>
      <c r="I1162" s="14" t="s">
        <v>110</v>
      </c>
      <c r="K1162" s="15" t="s">
        <v>2783</v>
      </c>
    </row>
    <row r="1163" spans="1:11" hidden="1" x14ac:dyDescent="0.25">
      <c r="A1163" s="11" t="s">
        <v>2</v>
      </c>
      <c r="H1163" s="14" t="s">
        <v>110</v>
      </c>
      <c r="I1163" s="14" t="s">
        <v>110</v>
      </c>
      <c r="K1163" s="15" t="s">
        <v>2784</v>
      </c>
    </row>
    <row r="1164" spans="1:11" hidden="1" x14ac:dyDescent="0.25">
      <c r="A1164" s="11" t="s">
        <v>2</v>
      </c>
      <c r="H1164" s="14" t="s">
        <v>110</v>
      </c>
      <c r="I1164" s="14" t="s">
        <v>110</v>
      </c>
      <c r="K1164" s="15" t="s">
        <v>2788</v>
      </c>
    </row>
    <row r="1165" spans="1:11" hidden="1" x14ac:dyDescent="0.25">
      <c r="A1165" s="11" t="s">
        <v>2</v>
      </c>
      <c r="H1165" s="14" t="s">
        <v>110</v>
      </c>
      <c r="I1165" s="14" t="s">
        <v>110</v>
      </c>
      <c r="K1165" s="15" t="s">
        <v>2789</v>
      </c>
    </row>
    <row r="1166" spans="1:11" hidden="1" x14ac:dyDescent="0.25">
      <c r="A1166" s="11" t="s">
        <v>2</v>
      </c>
      <c r="H1166" s="14" t="s">
        <v>110</v>
      </c>
      <c r="I1166" s="14" t="s">
        <v>110</v>
      </c>
      <c r="K1166" s="15" t="s">
        <v>2790</v>
      </c>
    </row>
    <row r="1167" spans="1:11" hidden="1" x14ac:dyDescent="0.25">
      <c r="A1167" s="11" t="s">
        <v>2</v>
      </c>
      <c r="H1167" s="14" t="s">
        <v>110</v>
      </c>
      <c r="I1167" s="14" t="s">
        <v>110</v>
      </c>
      <c r="K1167" s="15" t="s">
        <v>2791</v>
      </c>
    </row>
    <row r="1168" spans="1:11" hidden="1" x14ac:dyDescent="0.25">
      <c r="A1168" s="11" t="s">
        <v>2</v>
      </c>
      <c r="H1168" s="14" t="s">
        <v>110</v>
      </c>
      <c r="I1168" s="14" t="s">
        <v>110</v>
      </c>
      <c r="K1168" s="15" t="s">
        <v>2792</v>
      </c>
    </row>
    <row r="1169" spans="1:11" hidden="1" x14ac:dyDescent="0.25">
      <c r="A1169" s="11" t="s">
        <v>2</v>
      </c>
      <c r="H1169" s="14" t="s">
        <v>110</v>
      </c>
      <c r="I1169" s="14" t="s">
        <v>110</v>
      </c>
      <c r="K1169" s="15" t="s">
        <v>2793</v>
      </c>
    </row>
    <row r="1170" spans="1:11" hidden="1" x14ac:dyDescent="0.25">
      <c r="A1170" s="11" t="s">
        <v>21</v>
      </c>
      <c r="H1170" s="14" t="s">
        <v>110</v>
      </c>
      <c r="I1170" s="14" t="s">
        <v>110</v>
      </c>
      <c r="K1170" s="15" t="s">
        <v>2807</v>
      </c>
    </row>
    <row r="1171" spans="1:11" hidden="1" x14ac:dyDescent="0.25">
      <c r="A1171" s="11" t="s">
        <v>21</v>
      </c>
      <c r="H1171" s="14" t="s">
        <v>110</v>
      </c>
      <c r="I1171" s="14" t="s">
        <v>110</v>
      </c>
      <c r="K1171" s="15" t="s">
        <v>2808</v>
      </c>
    </row>
    <row r="1172" spans="1:11" hidden="1" x14ac:dyDescent="0.25">
      <c r="A1172" s="11" t="s">
        <v>21</v>
      </c>
      <c r="H1172" s="14" t="s">
        <v>110</v>
      </c>
      <c r="I1172" s="14" t="s">
        <v>110</v>
      </c>
      <c r="K1172" s="15" t="s">
        <v>2854</v>
      </c>
    </row>
    <row r="1173" spans="1:11" hidden="1" x14ac:dyDescent="0.25">
      <c r="A1173" s="11" t="s">
        <v>21</v>
      </c>
      <c r="H1173" s="14" t="s">
        <v>110</v>
      </c>
      <c r="I1173" s="14" t="s">
        <v>110</v>
      </c>
      <c r="K1173" s="15" t="s">
        <v>2855</v>
      </c>
    </row>
    <row r="1174" spans="1:11" hidden="1" x14ac:dyDescent="0.25">
      <c r="A1174" s="11" t="s">
        <v>21</v>
      </c>
      <c r="H1174" s="14" t="s">
        <v>110</v>
      </c>
      <c r="I1174" s="14" t="s">
        <v>110</v>
      </c>
      <c r="K1174" s="15" t="s">
        <v>2856</v>
      </c>
    </row>
    <row r="1175" spans="1:11" hidden="1" x14ac:dyDescent="0.25">
      <c r="A1175" s="11" t="s">
        <v>21</v>
      </c>
      <c r="H1175" s="14" t="s">
        <v>110</v>
      </c>
      <c r="I1175" s="14" t="s">
        <v>110</v>
      </c>
      <c r="K1175" s="15" t="s">
        <v>2857</v>
      </c>
    </row>
    <row r="1176" spans="1:11" hidden="1" x14ac:dyDescent="0.25">
      <c r="A1176" s="11" t="s">
        <v>21</v>
      </c>
      <c r="H1176" s="14" t="s">
        <v>110</v>
      </c>
      <c r="I1176" s="14" t="s">
        <v>110</v>
      </c>
      <c r="K1176" s="15" t="s">
        <v>2858</v>
      </c>
    </row>
    <row r="1177" spans="1:11" hidden="1" x14ac:dyDescent="0.25">
      <c r="A1177" s="11" t="s">
        <v>21</v>
      </c>
      <c r="H1177" s="14" t="s">
        <v>110</v>
      </c>
      <c r="I1177" s="14" t="s">
        <v>110</v>
      </c>
      <c r="K1177" s="15" t="s">
        <v>2859</v>
      </c>
    </row>
    <row r="1178" spans="1:11" hidden="1" x14ac:dyDescent="0.25">
      <c r="A1178" s="11" t="s">
        <v>134</v>
      </c>
      <c r="H1178" s="14" t="s">
        <v>110</v>
      </c>
      <c r="I1178" s="14" t="s">
        <v>110</v>
      </c>
      <c r="K1178" s="15" t="s">
        <v>2860</v>
      </c>
    </row>
    <row r="1179" spans="1:11" hidden="1" x14ac:dyDescent="0.25">
      <c r="A1179" s="11" t="s">
        <v>134</v>
      </c>
      <c r="H1179" s="14" t="s">
        <v>110</v>
      </c>
      <c r="I1179" s="14" t="s">
        <v>110</v>
      </c>
      <c r="K1179" s="15" t="s">
        <v>2861</v>
      </c>
    </row>
    <row r="1180" spans="1:11" hidden="1" x14ac:dyDescent="0.25">
      <c r="A1180" s="11" t="s">
        <v>134</v>
      </c>
      <c r="H1180" s="14" t="s">
        <v>110</v>
      </c>
      <c r="I1180" s="14" t="s">
        <v>110</v>
      </c>
      <c r="K1180" s="15" t="s">
        <v>2862</v>
      </c>
    </row>
    <row r="1181" spans="1:11" hidden="1" x14ac:dyDescent="0.25">
      <c r="A1181" s="11" t="s">
        <v>21</v>
      </c>
      <c r="H1181" s="14" t="s">
        <v>110</v>
      </c>
      <c r="I1181" s="14" t="s">
        <v>110</v>
      </c>
      <c r="K1181" s="15" t="s">
        <v>2878</v>
      </c>
    </row>
    <row r="1182" spans="1:11" hidden="1" x14ac:dyDescent="0.25">
      <c r="A1182" s="11" t="s">
        <v>134</v>
      </c>
      <c r="H1182" s="14" t="s">
        <v>110</v>
      </c>
      <c r="I1182" s="14" t="s">
        <v>110</v>
      </c>
      <c r="K1182" s="15" t="s">
        <v>2884</v>
      </c>
    </row>
    <row r="1183" spans="1:11" hidden="1" x14ac:dyDescent="0.25">
      <c r="A1183" s="11" t="s">
        <v>134</v>
      </c>
      <c r="H1183" s="14" t="s">
        <v>110</v>
      </c>
      <c r="I1183" s="14" t="s">
        <v>110</v>
      </c>
      <c r="K1183" s="15" t="s">
        <v>2885</v>
      </c>
    </row>
    <row r="1184" spans="1:11" hidden="1" x14ac:dyDescent="0.25">
      <c r="A1184" s="11" t="s">
        <v>134</v>
      </c>
      <c r="H1184" s="14" t="s">
        <v>110</v>
      </c>
      <c r="I1184" s="14" t="s">
        <v>110</v>
      </c>
      <c r="K1184" s="15" t="s">
        <v>2886</v>
      </c>
    </row>
    <row r="1185" spans="1:11" hidden="1" x14ac:dyDescent="0.25">
      <c r="A1185" s="11" t="s">
        <v>134</v>
      </c>
      <c r="H1185" s="14" t="s">
        <v>110</v>
      </c>
      <c r="I1185" s="14" t="s">
        <v>110</v>
      </c>
      <c r="K1185" s="15" t="s">
        <v>2887</v>
      </c>
    </row>
    <row r="1186" spans="1:11" hidden="1" x14ac:dyDescent="0.25">
      <c r="A1186" s="11" t="s">
        <v>134</v>
      </c>
      <c r="H1186" s="14" t="s">
        <v>110</v>
      </c>
      <c r="I1186" s="14" t="s">
        <v>110</v>
      </c>
      <c r="K1186" s="15" t="s">
        <v>2888</v>
      </c>
    </row>
    <row r="1187" spans="1:11" hidden="1" x14ac:dyDescent="0.25">
      <c r="A1187" s="11" t="s">
        <v>134</v>
      </c>
      <c r="H1187" s="14" t="s">
        <v>110</v>
      </c>
      <c r="I1187" s="14" t="s">
        <v>110</v>
      </c>
      <c r="K1187" s="15" t="s">
        <v>2889</v>
      </c>
    </row>
    <row r="1188" spans="1:11" hidden="1" x14ac:dyDescent="0.25">
      <c r="A1188" s="11" t="s">
        <v>134</v>
      </c>
      <c r="H1188" s="14" t="s">
        <v>110</v>
      </c>
      <c r="I1188" s="14" t="s">
        <v>110</v>
      </c>
      <c r="K1188" s="15" t="s">
        <v>2890</v>
      </c>
    </row>
    <row r="1189" spans="1:11" hidden="1" x14ac:dyDescent="0.25">
      <c r="A1189" s="11" t="s">
        <v>134</v>
      </c>
      <c r="H1189" s="14" t="s">
        <v>110</v>
      </c>
      <c r="I1189" s="14" t="s">
        <v>110</v>
      </c>
      <c r="K1189" s="15" t="s">
        <v>2891</v>
      </c>
    </row>
    <row r="1190" spans="1:11" hidden="1" x14ac:dyDescent="0.25">
      <c r="A1190" s="11" t="s">
        <v>134</v>
      </c>
      <c r="H1190" s="14" t="s">
        <v>110</v>
      </c>
      <c r="I1190" s="14" t="s">
        <v>110</v>
      </c>
      <c r="K1190" s="15" t="s">
        <v>2892</v>
      </c>
    </row>
    <row r="1191" spans="1:11" hidden="1" x14ac:dyDescent="0.25">
      <c r="A1191" s="11" t="s">
        <v>134</v>
      </c>
      <c r="H1191" s="14" t="s">
        <v>110</v>
      </c>
      <c r="I1191" s="14" t="s">
        <v>110</v>
      </c>
      <c r="K1191" s="15" t="s">
        <v>2893</v>
      </c>
    </row>
    <row r="1192" spans="1:11" hidden="1" x14ac:dyDescent="0.25">
      <c r="A1192" s="11" t="s">
        <v>21</v>
      </c>
      <c r="H1192" s="14" t="s">
        <v>110</v>
      </c>
      <c r="I1192" s="14" t="s">
        <v>110</v>
      </c>
      <c r="K1192" s="15" t="s">
        <v>2962</v>
      </c>
    </row>
    <row r="1193" spans="1:11" hidden="1" x14ac:dyDescent="0.25">
      <c r="A1193" s="11" t="s">
        <v>21</v>
      </c>
      <c r="H1193" s="14" t="s">
        <v>110</v>
      </c>
      <c r="I1193" s="14" t="s">
        <v>110</v>
      </c>
      <c r="K1193" s="15" t="s">
        <v>3005</v>
      </c>
    </row>
    <row r="1194" spans="1:11" hidden="1" x14ac:dyDescent="0.25">
      <c r="A1194" s="11" t="s">
        <v>21</v>
      </c>
      <c r="H1194" s="14" t="s">
        <v>110</v>
      </c>
      <c r="I1194" s="14" t="s">
        <v>110</v>
      </c>
      <c r="K1194" s="15" t="s">
        <v>3006</v>
      </c>
    </row>
    <row r="1195" spans="1:11" hidden="1" x14ac:dyDescent="0.25">
      <c r="A1195" s="11" t="s">
        <v>21</v>
      </c>
      <c r="H1195" s="14" t="s">
        <v>110</v>
      </c>
      <c r="I1195" s="14" t="s">
        <v>110</v>
      </c>
      <c r="K1195" s="15" t="s">
        <v>3007</v>
      </c>
    </row>
    <row r="1196" spans="1:11" hidden="1" x14ac:dyDescent="0.25">
      <c r="A1196" s="11" t="s">
        <v>21</v>
      </c>
      <c r="H1196" s="14" t="s">
        <v>110</v>
      </c>
      <c r="I1196" s="14" t="s">
        <v>110</v>
      </c>
      <c r="K1196" s="15" t="s">
        <v>3008</v>
      </c>
    </row>
    <row r="1197" spans="1:11" hidden="1" x14ac:dyDescent="0.25">
      <c r="A1197" s="11" t="s">
        <v>21</v>
      </c>
      <c r="H1197" s="14" t="s">
        <v>110</v>
      </c>
      <c r="I1197" s="14" t="s">
        <v>110</v>
      </c>
      <c r="K1197" s="15" t="s">
        <v>3009</v>
      </c>
    </row>
    <row r="1198" spans="1:11" hidden="1" x14ac:dyDescent="0.25">
      <c r="A1198" s="11" t="s">
        <v>21</v>
      </c>
      <c r="H1198" s="14" t="s">
        <v>110</v>
      </c>
      <c r="I1198" s="14" t="s">
        <v>110</v>
      </c>
      <c r="K1198" s="15" t="s">
        <v>3010</v>
      </c>
    </row>
    <row r="1199" spans="1:11" hidden="1" x14ac:dyDescent="0.25">
      <c r="A1199" s="11" t="s">
        <v>21</v>
      </c>
      <c r="H1199" s="14" t="s">
        <v>110</v>
      </c>
      <c r="I1199" s="14" t="s">
        <v>110</v>
      </c>
      <c r="K1199" s="15" t="s">
        <v>3011</v>
      </c>
    </row>
    <row r="1200" spans="1:11" hidden="1" x14ac:dyDescent="0.25">
      <c r="A1200" s="11" t="s">
        <v>21</v>
      </c>
      <c r="H1200" s="14" t="s">
        <v>110</v>
      </c>
      <c r="I1200" s="14" t="s">
        <v>110</v>
      </c>
      <c r="K1200" s="15" t="s">
        <v>3012</v>
      </c>
    </row>
    <row r="1201" spans="1:15" hidden="1" x14ac:dyDescent="0.25">
      <c r="A1201" s="11" t="s">
        <v>23</v>
      </c>
      <c r="H1201" s="14" t="s">
        <v>110</v>
      </c>
      <c r="I1201" s="14" t="s">
        <v>110</v>
      </c>
      <c r="K1201" s="15" t="s">
        <v>3061</v>
      </c>
    </row>
    <row r="1202" spans="1:15" hidden="1" x14ac:dyDescent="0.25">
      <c r="A1202" s="11" t="s">
        <v>23</v>
      </c>
      <c r="H1202" s="14" t="s">
        <v>110</v>
      </c>
      <c r="I1202" s="14" t="s">
        <v>110</v>
      </c>
      <c r="K1202" s="15" t="s">
        <v>3062</v>
      </c>
    </row>
    <row r="1203" spans="1:15" hidden="1" x14ac:dyDescent="0.25">
      <c r="A1203" s="11" t="s">
        <v>21</v>
      </c>
      <c r="H1203" s="14" t="s">
        <v>110</v>
      </c>
      <c r="I1203" s="14" t="s">
        <v>110</v>
      </c>
      <c r="K1203" s="15" t="s">
        <v>3077</v>
      </c>
    </row>
    <row r="1204" spans="1:15" hidden="1" x14ac:dyDescent="0.25">
      <c r="A1204" s="11" t="s">
        <v>21</v>
      </c>
      <c r="H1204" s="14" t="s">
        <v>110</v>
      </c>
      <c r="I1204" s="14" t="s">
        <v>110</v>
      </c>
      <c r="K1204" s="15" t="s">
        <v>3078</v>
      </c>
    </row>
    <row r="1205" spans="1:15" hidden="1" x14ac:dyDescent="0.25">
      <c r="A1205" s="11" t="s">
        <v>21</v>
      </c>
      <c r="H1205" s="14" t="s">
        <v>110</v>
      </c>
      <c r="I1205" s="14" t="s">
        <v>110</v>
      </c>
      <c r="K1205" s="15" t="s">
        <v>3079</v>
      </c>
    </row>
    <row r="1206" spans="1:15" hidden="1" x14ac:dyDescent="0.25">
      <c r="A1206" s="11" t="s">
        <v>21</v>
      </c>
      <c r="H1206" s="14" t="s">
        <v>110</v>
      </c>
      <c r="I1206" s="14" t="s">
        <v>110</v>
      </c>
      <c r="K1206" s="15" t="s">
        <v>3080</v>
      </c>
    </row>
    <row r="1207" spans="1:15" hidden="1" x14ac:dyDescent="0.25">
      <c r="A1207" s="11" t="s">
        <v>21</v>
      </c>
      <c r="H1207" s="14" t="s">
        <v>110</v>
      </c>
      <c r="I1207" s="14" t="s">
        <v>110</v>
      </c>
      <c r="K1207" s="15" t="s">
        <v>3095</v>
      </c>
    </row>
    <row r="1208" spans="1:15" hidden="1" x14ac:dyDescent="0.25">
      <c r="A1208" s="11" t="s">
        <v>21</v>
      </c>
      <c r="H1208" s="14" t="s">
        <v>110</v>
      </c>
      <c r="I1208" s="14" t="s">
        <v>110</v>
      </c>
      <c r="K1208" s="15" t="s">
        <v>3096</v>
      </c>
    </row>
    <row r="1209" spans="1:15" hidden="1" x14ac:dyDescent="0.25">
      <c r="A1209" s="11" t="s">
        <v>21</v>
      </c>
      <c r="H1209" s="14" t="s">
        <v>110</v>
      </c>
      <c r="I1209" s="14" t="s">
        <v>110</v>
      </c>
      <c r="K1209" s="15" t="s">
        <v>3170</v>
      </c>
    </row>
    <row r="1210" spans="1:15" hidden="1" x14ac:dyDescent="0.25">
      <c r="A1210" s="11" t="e">
        <v>#N/A</v>
      </c>
      <c r="B1210" s="11" t="e">
        <v>#N/A</v>
      </c>
      <c r="C1210" s="12" t="e">
        <v>#N/A</v>
      </c>
      <c r="D1210" s="12" t="e">
        <v>#N/A</v>
      </c>
      <c r="E1210" s="13" t="e">
        <v>#N/A</v>
      </c>
      <c r="F1210" s="111" t="e">
        <v>#N/A</v>
      </c>
      <c r="G1210" s="13" t="e">
        <v>#N/A</v>
      </c>
      <c r="H1210" s="14" t="e">
        <v>#N/A</v>
      </c>
      <c r="I1210" s="14" t="e">
        <v>#N/A</v>
      </c>
      <c r="J1210" s="12" t="e">
        <v>#N/A</v>
      </c>
      <c r="K1210" s="15" t="e">
        <v>#N/A</v>
      </c>
      <c r="L1210" s="16" t="e">
        <v>#N/A</v>
      </c>
      <c r="M1210" s="16" t="e">
        <v>#N/A</v>
      </c>
      <c r="N1210" s="58" t="e">
        <v>#N/A</v>
      </c>
      <c r="O1210" s="11" t="e">
        <v>#N/A</v>
      </c>
    </row>
    <row r="1211" spans="1:15" hidden="1" x14ac:dyDescent="0.25">
      <c r="A1211" s="11" t="e">
        <v>#N/A</v>
      </c>
      <c r="B1211" s="11" t="e">
        <v>#N/A</v>
      </c>
      <c r="C1211" s="12" t="e">
        <v>#N/A</v>
      </c>
      <c r="D1211" s="12" t="e">
        <v>#N/A</v>
      </c>
      <c r="E1211" s="13" t="e">
        <v>#N/A</v>
      </c>
      <c r="F1211" s="111" t="e">
        <v>#N/A</v>
      </c>
      <c r="G1211" s="13" t="e">
        <v>#N/A</v>
      </c>
      <c r="H1211" s="14" t="e">
        <v>#N/A</v>
      </c>
      <c r="I1211" s="14" t="e">
        <v>#N/A</v>
      </c>
      <c r="J1211" s="12" t="e">
        <v>#N/A</v>
      </c>
      <c r="K1211" s="15" t="e">
        <v>#N/A</v>
      </c>
      <c r="L1211" s="16" t="e">
        <v>#N/A</v>
      </c>
      <c r="M1211" s="16" t="e">
        <v>#N/A</v>
      </c>
      <c r="N1211" s="58" t="e">
        <v>#N/A</v>
      </c>
      <c r="O1211" s="11" t="e">
        <v>#N/A</v>
      </c>
    </row>
    <row r="1212" spans="1:15" hidden="1" x14ac:dyDescent="0.25">
      <c r="A1212" s="11" t="e">
        <v>#N/A</v>
      </c>
      <c r="B1212" s="11" t="e">
        <v>#N/A</v>
      </c>
      <c r="C1212" s="12" t="e">
        <v>#N/A</v>
      </c>
      <c r="D1212" s="12" t="e">
        <v>#N/A</v>
      </c>
      <c r="E1212" s="13" t="e">
        <v>#N/A</v>
      </c>
      <c r="F1212" s="111" t="e">
        <v>#N/A</v>
      </c>
      <c r="G1212" s="13" t="e">
        <v>#N/A</v>
      </c>
      <c r="H1212" s="14" t="e">
        <v>#N/A</v>
      </c>
      <c r="I1212" s="14" t="e">
        <v>#N/A</v>
      </c>
      <c r="J1212" s="12" t="e">
        <v>#N/A</v>
      </c>
      <c r="K1212" s="15" t="e">
        <v>#N/A</v>
      </c>
      <c r="L1212" s="16" t="e">
        <v>#N/A</v>
      </c>
      <c r="M1212" s="16" t="e">
        <v>#N/A</v>
      </c>
      <c r="N1212" s="58" t="e">
        <v>#N/A</v>
      </c>
      <c r="O1212" s="11" t="e">
        <v>#N/A</v>
      </c>
    </row>
    <row r="1213" spans="1:15" hidden="1" x14ac:dyDescent="0.25">
      <c r="A1213" s="11" t="e">
        <v>#N/A</v>
      </c>
      <c r="B1213" s="11" t="e">
        <v>#N/A</v>
      </c>
      <c r="C1213" s="12" t="e">
        <v>#N/A</v>
      </c>
      <c r="D1213" s="12" t="e">
        <v>#N/A</v>
      </c>
      <c r="E1213" s="13" t="e">
        <v>#N/A</v>
      </c>
      <c r="F1213" s="111" t="e">
        <v>#N/A</v>
      </c>
      <c r="G1213" s="13" t="e">
        <v>#N/A</v>
      </c>
      <c r="H1213" s="14" t="e">
        <v>#N/A</v>
      </c>
      <c r="I1213" s="14" t="e">
        <v>#N/A</v>
      </c>
      <c r="J1213" s="12" t="e">
        <v>#N/A</v>
      </c>
      <c r="K1213" s="15" t="e">
        <v>#N/A</v>
      </c>
      <c r="L1213" s="16" t="e">
        <v>#N/A</v>
      </c>
      <c r="M1213" s="16" t="e">
        <v>#N/A</v>
      </c>
      <c r="N1213" s="58" t="e">
        <v>#N/A</v>
      </c>
      <c r="O1213" s="11" t="e">
        <v>#N/A</v>
      </c>
    </row>
    <row r="1214" spans="1:15" hidden="1" x14ac:dyDescent="0.25">
      <c r="A1214" s="11" t="s">
        <v>23</v>
      </c>
      <c r="B1214" s="11" t="s">
        <v>845</v>
      </c>
      <c r="C1214" s="12" t="s">
        <v>870</v>
      </c>
      <c r="D1214" s="12" t="s">
        <v>881</v>
      </c>
      <c r="E1214" s="13">
        <v>1</v>
      </c>
      <c r="F1214" s="111">
        <v>2003</v>
      </c>
      <c r="G1214" s="13" t="s">
        <v>882</v>
      </c>
      <c r="H1214" s="14" t="s">
        <v>554</v>
      </c>
      <c r="I1214" s="14" t="s">
        <v>883</v>
      </c>
      <c r="J1214" s="12" t="s">
        <v>555</v>
      </c>
      <c r="K1214" s="15" t="s">
        <v>884</v>
      </c>
      <c r="O1214" s="11" t="s">
        <v>885</v>
      </c>
    </row>
    <row r="1215" spans="1:15" hidden="1" x14ac:dyDescent="0.25">
      <c r="A1215" s="11" t="s">
        <v>23</v>
      </c>
      <c r="B1215" s="11" t="s">
        <v>845</v>
      </c>
      <c r="C1215" s="12" t="s">
        <v>870</v>
      </c>
      <c r="D1215" s="12" t="s">
        <v>891</v>
      </c>
      <c r="E1215" s="13">
        <v>1</v>
      </c>
      <c r="F1215" s="111">
        <v>2003</v>
      </c>
      <c r="G1215" s="13" t="s">
        <v>892</v>
      </c>
      <c r="H1215" s="14" t="s">
        <v>554</v>
      </c>
      <c r="I1215" s="14" t="s">
        <v>893</v>
      </c>
      <c r="J1215" s="12" t="s">
        <v>555</v>
      </c>
      <c r="K1215" s="15" t="s">
        <v>894</v>
      </c>
      <c r="O1215" s="11" t="s">
        <v>895</v>
      </c>
    </row>
    <row r="1216" spans="1:15" hidden="1" x14ac:dyDescent="0.25">
      <c r="A1216" s="11" t="s">
        <v>23</v>
      </c>
      <c r="B1216" s="11" t="s">
        <v>845</v>
      </c>
      <c r="C1216" s="12" t="s">
        <v>870</v>
      </c>
      <c r="D1216" s="12" t="s">
        <v>904</v>
      </c>
      <c r="E1216" s="13">
        <v>1</v>
      </c>
      <c r="F1216" s="111">
        <v>2003</v>
      </c>
      <c r="G1216" s="13" t="s">
        <v>905</v>
      </c>
      <c r="H1216" s="14" t="s">
        <v>554</v>
      </c>
      <c r="I1216" s="14" t="s">
        <v>906</v>
      </c>
      <c r="J1216" s="12" t="s">
        <v>555</v>
      </c>
      <c r="K1216" s="15" t="s">
        <v>907</v>
      </c>
      <c r="O1216" s="11" t="s">
        <v>908</v>
      </c>
    </row>
    <row r="1217" spans="1:15" hidden="1" x14ac:dyDescent="0.25">
      <c r="A1217" s="11" t="s">
        <v>23</v>
      </c>
      <c r="B1217" s="11" t="s">
        <v>845</v>
      </c>
      <c r="C1217" s="12" t="s">
        <v>870</v>
      </c>
      <c r="D1217" s="12" t="s">
        <v>914</v>
      </c>
      <c r="E1217" s="13">
        <v>1</v>
      </c>
      <c r="F1217" s="111">
        <v>2003</v>
      </c>
      <c r="G1217" s="13" t="s">
        <v>915</v>
      </c>
      <c r="H1217" s="14" t="s">
        <v>554</v>
      </c>
      <c r="I1217" s="14" t="s">
        <v>916</v>
      </c>
      <c r="J1217" s="12" t="s">
        <v>555</v>
      </c>
      <c r="K1217" s="15" t="s">
        <v>917</v>
      </c>
      <c r="O1217" s="11" t="s">
        <v>918</v>
      </c>
    </row>
    <row r="1218" spans="1:15" hidden="1" x14ac:dyDescent="0.25">
      <c r="A1218" s="11" t="s">
        <v>23</v>
      </c>
      <c r="B1218" s="11" t="s">
        <v>845</v>
      </c>
      <c r="C1218" s="12" t="s">
        <v>870</v>
      </c>
      <c r="D1218" s="12" t="s">
        <v>924</v>
      </c>
      <c r="E1218" s="13">
        <v>1</v>
      </c>
      <c r="F1218" s="111">
        <v>2003</v>
      </c>
      <c r="G1218" s="13" t="s">
        <v>925</v>
      </c>
      <c r="H1218" s="14" t="s">
        <v>554</v>
      </c>
      <c r="I1218" s="14" t="s">
        <v>926</v>
      </c>
      <c r="J1218" s="12" t="s">
        <v>555</v>
      </c>
      <c r="K1218" s="15" t="s">
        <v>927</v>
      </c>
      <c r="O1218" s="11" t="s">
        <v>928</v>
      </c>
    </row>
    <row r="1219" spans="1:15" hidden="1" x14ac:dyDescent="0.25">
      <c r="A1219" s="11" t="s">
        <v>23</v>
      </c>
      <c r="B1219" s="11" t="s">
        <v>845</v>
      </c>
      <c r="C1219" s="12" t="s">
        <v>870</v>
      </c>
      <c r="D1219" s="12" t="s">
        <v>934</v>
      </c>
      <c r="E1219" s="13">
        <v>1</v>
      </c>
      <c r="F1219" s="111">
        <v>2003</v>
      </c>
      <c r="G1219" s="13" t="s">
        <v>935</v>
      </c>
      <c r="H1219" s="14" t="s">
        <v>554</v>
      </c>
      <c r="I1219" s="14" t="s">
        <v>936</v>
      </c>
      <c r="J1219" s="12" t="s">
        <v>555</v>
      </c>
      <c r="K1219" s="15" t="s">
        <v>937</v>
      </c>
      <c r="O1219" s="11" t="s">
        <v>938</v>
      </c>
    </row>
    <row r="1220" spans="1:15" hidden="1" x14ac:dyDescent="0.25">
      <c r="A1220" s="11" t="s">
        <v>23</v>
      </c>
      <c r="B1220" s="11" t="s">
        <v>845</v>
      </c>
      <c r="C1220" s="12" t="s">
        <v>870</v>
      </c>
      <c r="D1220" s="12" t="s">
        <v>944</v>
      </c>
      <c r="E1220" s="13">
        <v>1</v>
      </c>
      <c r="F1220" s="111">
        <v>2003</v>
      </c>
      <c r="G1220" s="13" t="s">
        <v>945</v>
      </c>
      <c r="H1220" s="14" t="s">
        <v>554</v>
      </c>
      <c r="I1220" s="14" t="s">
        <v>946</v>
      </c>
      <c r="J1220" s="12" t="s">
        <v>555</v>
      </c>
      <c r="K1220" s="15" t="s">
        <v>947</v>
      </c>
      <c r="O1220" s="11" t="s">
        <v>948</v>
      </c>
    </row>
    <row r="1221" spans="1:15" hidden="1" x14ac:dyDescent="0.25">
      <c r="A1221" s="11" t="s">
        <v>23</v>
      </c>
      <c r="B1221" s="11" t="s">
        <v>845</v>
      </c>
      <c r="C1221" s="12" t="s">
        <v>870</v>
      </c>
      <c r="D1221" s="12" t="s">
        <v>954</v>
      </c>
      <c r="E1221" s="13">
        <v>1</v>
      </c>
      <c r="F1221" s="111">
        <v>2003</v>
      </c>
      <c r="G1221" s="13" t="s">
        <v>955</v>
      </c>
      <c r="H1221" s="14" t="s">
        <v>554</v>
      </c>
      <c r="I1221" s="14" t="s">
        <v>956</v>
      </c>
      <c r="J1221" s="12" t="s">
        <v>555</v>
      </c>
      <c r="K1221" s="15" t="s">
        <v>957</v>
      </c>
      <c r="O1221" s="11" t="s">
        <v>958</v>
      </c>
    </row>
    <row r="1222" spans="1:15" hidden="1" x14ac:dyDescent="0.25">
      <c r="A1222" s="11" t="s">
        <v>23</v>
      </c>
      <c r="B1222" s="11" t="s">
        <v>845</v>
      </c>
      <c r="C1222" s="12" t="s">
        <v>870</v>
      </c>
      <c r="D1222" s="12" t="s">
        <v>891</v>
      </c>
      <c r="E1222" s="13">
        <v>2</v>
      </c>
      <c r="F1222" s="111">
        <v>2003</v>
      </c>
      <c r="G1222" s="13" t="s">
        <v>896</v>
      </c>
      <c r="H1222" s="14" t="s">
        <v>554</v>
      </c>
      <c r="I1222" s="14" t="s">
        <v>897</v>
      </c>
      <c r="J1222" s="12" t="s">
        <v>555</v>
      </c>
      <c r="K1222" s="15" t="s">
        <v>898</v>
      </c>
      <c r="O1222" s="11" t="s">
        <v>895</v>
      </c>
    </row>
    <row r="1223" spans="1:15" hidden="1" x14ac:dyDescent="0.25">
      <c r="A1223" s="11" t="s">
        <v>23</v>
      </c>
      <c r="B1223" s="11" t="s">
        <v>845</v>
      </c>
      <c r="C1223" s="12" t="s">
        <v>870</v>
      </c>
      <c r="D1223" s="12" t="s">
        <v>954</v>
      </c>
      <c r="E1223" s="13">
        <v>2</v>
      </c>
      <c r="F1223" s="111">
        <v>2003</v>
      </c>
      <c r="G1223" s="13" t="s">
        <v>959</v>
      </c>
      <c r="H1223" s="14" t="s">
        <v>554</v>
      </c>
      <c r="I1223" s="14" t="s">
        <v>960</v>
      </c>
      <c r="J1223" s="12" t="s">
        <v>555</v>
      </c>
      <c r="K1223" s="15" t="s">
        <v>961</v>
      </c>
      <c r="O1223" s="11" t="s">
        <v>958</v>
      </c>
    </row>
    <row r="1224" spans="1:15" hidden="1" x14ac:dyDescent="0.25">
      <c r="A1224" s="11" t="s">
        <v>23</v>
      </c>
      <c r="B1224" s="11" t="s">
        <v>845</v>
      </c>
      <c r="C1224" s="12" t="s">
        <v>870</v>
      </c>
      <c r="D1224" s="12" t="s">
        <v>954</v>
      </c>
      <c r="E1224" s="13">
        <v>3</v>
      </c>
      <c r="F1224" s="111">
        <v>2003</v>
      </c>
      <c r="G1224" s="13" t="s">
        <v>962</v>
      </c>
      <c r="H1224" s="14" t="s">
        <v>554</v>
      </c>
      <c r="I1224" s="14" t="s">
        <v>963</v>
      </c>
      <c r="J1224" s="12" t="s">
        <v>555</v>
      </c>
      <c r="K1224" s="15" t="s">
        <v>964</v>
      </c>
      <c r="O1224" s="11" t="s">
        <v>958</v>
      </c>
    </row>
    <row r="1225" spans="1:15" hidden="1" x14ac:dyDescent="0.25">
      <c r="A1225" s="11" t="e">
        <v>#N/A</v>
      </c>
      <c r="B1225" s="11" t="e">
        <v>#N/A</v>
      </c>
      <c r="C1225" s="12" t="e">
        <v>#N/A</v>
      </c>
      <c r="D1225" s="12" t="e">
        <v>#N/A</v>
      </c>
      <c r="E1225" s="13" t="e">
        <v>#N/A</v>
      </c>
      <c r="F1225" s="111" t="e">
        <v>#N/A</v>
      </c>
      <c r="G1225" s="13" t="e">
        <v>#N/A</v>
      </c>
      <c r="H1225" s="14" t="e">
        <v>#N/A</v>
      </c>
      <c r="I1225" s="14" t="e">
        <v>#N/A</v>
      </c>
      <c r="J1225" s="12" t="e">
        <v>#N/A</v>
      </c>
      <c r="K1225" s="15" t="e">
        <v>#N/A</v>
      </c>
      <c r="L1225" s="16" t="e">
        <v>#N/A</v>
      </c>
      <c r="M1225" s="16" t="e">
        <v>#N/A</v>
      </c>
      <c r="N1225" s="58" t="e">
        <v>#N/A</v>
      </c>
      <c r="O1225" s="11" t="e">
        <v>#N/A</v>
      </c>
    </row>
    <row r="1226" spans="1:15" hidden="1" x14ac:dyDescent="0.25">
      <c r="A1226" s="11" t="e">
        <v>#N/A</v>
      </c>
      <c r="B1226" s="11" t="e">
        <v>#N/A</v>
      </c>
      <c r="C1226" s="12" t="e">
        <v>#N/A</v>
      </c>
      <c r="D1226" s="12" t="e">
        <v>#N/A</v>
      </c>
      <c r="E1226" s="13" t="e">
        <v>#N/A</v>
      </c>
      <c r="F1226" s="111" t="e">
        <v>#N/A</v>
      </c>
      <c r="G1226" s="13" t="e">
        <v>#N/A</v>
      </c>
      <c r="H1226" s="14" t="e">
        <v>#N/A</v>
      </c>
      <c r="I1226" s="14" t="e">
        <v>#N/A</v>
      </c>
      <c r="J1226" s="12" t="e">
        <v>#N/A</v>
      </c>
      <c r="K1226" s="15" t="e">
        <v>#N/A</v>
      </c>
      <c r="L1226" s="16" t="e">
        <v>#N/A</v>
      </c>
      <c r="M1226" s="16" t="e">
        <v>#N/A</v>
      </c>
      <c r="N1226" s="58" t="e">
        <v>#N/A</v>
      </c>
      <c r="O1226" s="11" t="e">
        <v>#N/A</v>
      </c>
    </row>
    <row r="1227" spans="1:15" hidden="1" x14ac:dyDescent="0.25">
      <c r="A1227" s="11" t="e">
        <v>#N/A</v>
      </c>
      <c r="B1227" s="11" t="e">
        <v>#N/A</v>
      </c>
      <c r="C1227" s="12" t="e">
        <v>#N/A</v>
      </c>
      <c r="D1227" s="12" t="e">
        <v>#N/A</v>
      </c>
      <c r="E1227" s="13" t="e">
        <v>#N/A</v>
      </c>
      <c r="F1227" s="111" t="e">
        <v>#N/A</v>
      </c>
      <c r="G1227" s="13" t="e">
        <v>#N/A</v>
      </c>
      <c r="H1227" s="14" t="e">
        <v>#N/A</v>
      </c>
      <c r="I1227" s="14" t="e">
        <v>#N/A</v>
      </c>
      <c r="J1227" s="12" t="e">
        <v>#N/A</v>
      </c>
      <c r="K1227" s="15" t="e">
        <v>#N/A</v>
      </c>
      <c r="L1227" s="16" t="e">
        <v>#N/A</v>
      </c>
      <c r="M1227" s="16" t="e">
        <v>#N/A</v>
      </c>
      <c r="N1227" s="58" t="e">
        <v>#N/A</v>
      </c>
      <c r="O1227" s="11" t="e">
        <v>#N/A</v>
      </c>
    </row>
    <row r="1228" spans="1:15" hidden="1" x14ac:dyDescent="0.25">
      <c r="A1228" s="11" t="e">
        <v>#N/A</v>
      </c>
      <c r="B1228" s="11" t="e">
        <v>#N/A</v>
      </c>
      <c r="C1228" s="12" t="e">
        <v>#N/A</v>
      </c>
      <c r="D1228" s="12" t="e">
        <v>#N/A</v>
      </c>
      <c r="E1228" s="13" t="e">
        <v>#N/A</v>
      </c>
      <c r="F1228" s="111" t="e">
        <v>#N/A</v>
      </c>
      <c r="G1228" s="13" t="e">
        <v>#N/A</v>
      </c>
      <c r="H1228" s="14" t="e">
        <v>#N/A</v>
      </c>
      <c r="I1228" s="14" t="e">
        <v>#N/A</v>
      </c>
      <c r="J1228" s="12" t="e">
        <v>#N/A</v>
      </c>
      <c r="K1228" s="15" t="e">
        <v>#N/A</v>
      </c>
      <c r="L1228" s="16" t="e">
        <v>#N/A</v>
      </c>
      <c r="M1228" s="16" t="e">
        <v>#N/A</v>
      </c>
      <c r="N1228" s="58" t="e">
        <v>#N/A</v>
      </c>
      <c r="O1228" s="11" t="e">
        <v>#N/A</v>
      </c>
    </row>
    <row r="1229" spans="1:15" hidden="1" x14ac:dyDescent="0.25">
      <c r="A1229" s="11" t="s">
        <v>23</v>
      </c>
      <c r="B1229" s="11" t="s">
        <v>863</v>
      </c>
      <c r="C1229" s="12" t="s">
        <v>553</v>
      </c>
      <c r="D1229" s="12" t="s">
        <v>1568</v>
      </c>
      <c r="E1229" s="13">
        <v>1</v>
      </c>
      <c r="F1229" s="111">
        <v>2212</v>
      </c>
      <c r="G1229" s="13" t="s">
        <v>1579</v>
      </c>
      <c r="H1229" s="14" t="s">
        <v>274</v>
      </c>
      <c r="I1229" s="14" t="s">
        <v>1580</v>
      </c>
      <c r="J1229" s="12" t="s">
        <v>972</v>
      </c>
      <c r="K1229" s="15" t="s">
        <v>1581</v>
      </c>
      <c r="O1229" s="11" t="s">
        <v>1572</v>
      </c>
    </row>
    <row r="1230" spans="1:15" hidden="1" x14ac:dyDescent="0.25">
      <c r="A1230" s="11" t="s">
        <v>23</v>
      </c>
      <c r="B1230" s="11" t="s">
        <v>863</v>
      </c>
      <c r="C1230" s="12" t="s">
        <v>553</v>
      </c>
      <c r="D1230" s="12" t="s">
        <v>1568</v>
      </c>
      <c r="E1230" s="13">
        <v>2</v>
      </c>
      <c r="F1230" s="111">
        <v>2212</v>
      </c>
      <c r="G1230" s="13" t="s">
        <v>1576</v>
      </c>
      <c r="H1230" s="14" t="s">
        <v>274</v>
      </c>
      <c r="I1230" s="14" t="s">
        <v>1577</v>
      </c>
      <c r="J1230" s="12" t="s">
        <v>972</v>
      </c>
      <c r="K1230" s="15" t="s">
        <v>1578</v>
      </c>
      <c r="O1230" s="11" t="s">
        <v>1572</v>
      </c>
    </row>
    <row r="1231" spans="1:15" hidden="1" x14ac:dyDescent="0.25">
      <c r="A1231" s="11" t="s">
        <v>23</v>
      </c>
      <c r="B1231" s="11" t="s">
        <v>863</v>
      </c>
      <c r="C1231" s="12" t="s">
        <v>553</v>
      </c>
      <c r="D1231" s="12" t="s">
        <v>1568</v>
      </c>
      <c r="E1231" s="13">
        <v>3</v>
      </c>
      <c r="F1231" s="111">
        <v>2212</v>
      </c>
      <c r="G1231" s="13" t="s">
        <v>1573</v>
      </c>
      <c r="H1231" s="14" t="s">
        <v>274</v>
      </c>
      <c r="I1231" s="14" t="s">
        <v>1574</v>
      </c>
      <c r="J1231" s="12" t="s">
        <v>972</v>
      </c>
      <c r="K1231" s="15" t="s">
        <v>1575</v>
      </c>
      <c r="O1231" s="11" t="s">
        <v>1572</v>
      </c>
    </row>
    <row r="1232" spans="1:15" hidden="1" x14ac:dyDescent="0.25">
      <c r="A1232" s="11" t="s">
        <v>23</v>
      </c>
      <c r="B1232" s="11" t="s">
        <v>863</v>
      </c>
      <c r="C1232" s="12" t="s">
        <v>553</v>
      </c>
      <c r="D1232" s="12" t="s">
        <v>1568</v>
      </c>
      <c r="E1232" s="13">
        <v>4</v>
      </c>
      <c r="F1232" s="111">
        <v>2212</v>
      </c>
      <c r="G1232" s="13" t="s">
        <v>1569</v>
      </c>
      <c r="H1232" s="14" t="s">
        <v>274</v>
      </c>
      <c r="I1232" s="14" t="s">
        <v>1570</v>
      </c>
      <c r="J1232" s="12" t="s">
        <v>972</v>
      </c>
      <c r="K1232" s="15" t="s">
        <v>1571</v>
      </c>
      <c r="O1232" s="11" t="s">
        <v>1572</v>
      </c>
    </row>
    <row r="1233" spans="1:15" hidden="1" x14ac:dyDescent="0.25">
      <c r="A1233" s="11" t="e">
        <v>#N/A</v>
      </c>
      <c r="B1233" s="11" t="e">
        <v>#N/A</v>
      </c>
      <c r="C1233" s="12" t="e">
        <v>#N/A</v>
      </c>
      <c r="D1233" s="12" t="e">
        <v>#N/A</v>
      </c>
      <c r="E1233" s="13" t="e">
        <v>#N/A</v>
      </c>
      <c r="F1233" s="111" t="e">
        <v>#N/A</v>
      </c>
      <c r="G1233" s="13" t="e">
        <v>#N/A</v>
      </c>
      <c r="H1233" s="14" t="e">
        <v>#N/A</v>
      </c>
      <c r="I1233" s="14" t="e">
        <v>#N/A</v>
      </c>
      <c r="J1233" s="12" t="e">
        <v>#N/A</v>
      </c>
      <c r="K1233" s="15" t="e">
        <v>#N/A</v>
      </c>
      <c r="L1233" s="16" t="e">
        <v>#N/A</v>
      </c>
      <c r="M1233" s="16" t="e">
        <v>#N/A</v>
      </c>
      <c r="N1233" s="58" t="e">
        <v>#N/A</v>
      </c>
      <c r="O1233" s="11" t="e">
        <v>#N/A</v>
      </c>
    </row>
    <row r="1234" spans="1:15" hidden="1" x14ac:dyDescent="0.25">
      <c r="A1234" s="11" t="s">
        <v>23</v>
      </c>
      <c r="B1234" s="11" t="s">
        <v>863</v>
      </c>
      <c r="C1234" s="12" t="s">
        <v>1522</v>
      </c>
      <c r="D1234" s="12" t="s">
        <v>1547</v>
      </c>
      <c r="E1234" s="13">
        <v>1</v>
      </c>
      <c r="F1234" s="111">
        <v>2312</v>
      </c>
      <c r="G1234" s="13" t="s">
        <v>1555</v>
      </c>
      <c r="H1234" s="14" t="s">
        <v>274</v>
      </c>
      <c r="I1234" s="14" t="s">
        <v>1556</v>
      </c>
      <c r="J1234" s="12" t="s">
        <v>972</v>
      </c>
      <c r="K1234" s="15" t="s">
        <v>1557</v>
      </c>
      <c r="O1234" s="11" t="s">
        <v>1551</v>
      </c>
    </row>
    <row r="1235" spans="1:15" hidden="1" x14ac:dyDescent="0.25">
      <c r="A1235" s="11" t="s">
        <v>23</v>
      </c>
      <c r="B1235" s="11" t="s">
        <v>863</v>
      </c>
      <c r="C1235" s="12" t="s">
        <v>1522</v>
      </c>
      <c r="D1235" s="12" t="s">
        <v>1547</v>
      </c>
      <c r="E1235" s="13">
        <v>2</v>
      </c>
      <c r="F1235" s="111">
        <v>2312</v>
      </c>
      <c r="G1235" s="13" t="s">
        <v>1552</v>
      </c>
      <c r="H1235" s="14" t="s">
        <v>274</v>
      </c>
      <c r="I1235" s="14" t="s">
        <v>1553</v>
      </c>
      <c r="J1235" s="12" t="s">
        <v>972</v>
      </c>
      <c r="K1235" s="15" t="s">
        <v>1554</v>
      </c>
      <c r="O1235" s="11" t="s">
        <v>1551</v>
      </c>
    </row>
    <row r="1236" spans="1:15" hidden="1" x14ac:dyDescent="0.25">
      <c r="A1236" s="11" t="s">
        <v>23</v>
      </c>
      <c r="B1236" s="11" t="s">
        <v>863</v>
      </c>
      <c r="C1236" s="12" t="s">
        <v>1522</v>
      </c>
      <c r="D1236" s="12" t="s">
        <v>1547</v>
      </c>
      <c r="E1236" s="13">
        <v>3</v>
      </c>
      <c r="F1236" s="111">
        <v>2312</v>
      </c>
      <c r="G1236" s="13" t="s">
        <v>1548</v>
      </c>
      <c r="H1236" s="14" t="s">
        <v>274</v>
      </c>
      <c r="I1236" s="14" t="s">
        <v>1549</v>
      </c>
      <c r="J1236" s="12" t="s">
        <v>972</v>
      </c>
      <c r="K1236" s="15" t="s">
        <v>1550</v>
      </c>
      <c r="O1236" s="11" t="s">
        <v>1551</v>
      </c>
    </row>
    <row r="1237" spans="1:15" hidden="1" x14ac:dyDescent="0.25">
      <c r="A1237" s="11" t="e">
        <v>#N/A</v>
      </c>
      <c r="B1237" s="11" t="e">
        <v>#N/A</v>
      </c>
      <c r="C1237" s="12" t="e">
        <v>#N/A</v>
      </c>
      <c r="D1237" s="12" t="e">
        <v>#N/A</v>
      </c>
      <c r="E1237" s="13" t="e">
        <v>#N/A</v>
      </c>
      <c r="F1237" s="111" t="e">
        <v>#N/A</v>
      </c>
      <c r="G1237" s="13" t="e">
        <v>#N/A</v>
      </c>
      <c r="H1237" s="14" t="e">
        <v>#N/A</v>
      </c>
      <c r="I1237" s="14" t="e">
        <v>#N/A</v>
      </c>
      <c r="J1237" s="12" t="e">
        <v>#N/A</v>
      </c>
      <c r="K1237" s="15" t="e">
        <v>#N/A</v>
      </c>
      <c r="L1237" s="16" t="e">
        <v>#N/A</v>
      </c>
      <c r="M1237" s="16" t="e">
        <v>#N/A</v>
      </c>
      <c r="N1237" s="58" t="e">
        <v>#N/A</v>
      </c>
      <c r="O1237" s="11" t="e">
        <v>#N/A</v>
      </c>
    </row>
    <row r="1238" spans="1:15" hidden="1" x14ac:dyDescent="0.25">
      <c r="A1238" s="11" t="e">
        <v>#N/A</v>
      </c>
      <c r="B1238" s="11" t="e">
        <v>#N/A</v>
      </c>
      <c r="C1238" s="12" t="e">
        <v>#N/A</v>
      </c>
      <c r="D1238" s="12" t="e">
        <v>#N/A</v>
      </c>
      <c r="E1238" s="13" t="e">
        <v>#N/A</v>
      </c>
      <c r="F1238" s="111" t="e">
        <v>#N/A</v>
      </c>
      <c r="G1238" s="13" t="e">
        <v>#N/A</v>
      </c>
      <c r="H1238" s="14" t="e">
        <v>#N/A</v>
      </c>
      <c r="I1238" s="14" t="e">
        <v>#N/A</v>
      </c>
      <c r="J1238" s="12" t="e">
        <v>#N/A</v>
      </c>
      <c r="K1238" s="15" t="e">
        <v>#N/A</v>
      </c>
      <c r="L1238" s="16" t="e">
        <v>#N/A</v>
      </c>
      <c r="M1238" s="16" t="e">
        <v>#N/A</v>
      </c>
      <c r="N1238" s="58" t="e">
        <v>#N/A</v>
      </c>
      <c r="O1238" s="11" t="e">
        <v>#N/A</v>
      </c>
    </row>
    <row r="1239" spans="1:15" hidden="1" x14ac:dyDescent="0.25">
      <c r="A1239" s="11" t="s">
        <v>134</v>
      </c>
      <c r="D1239" s="12" t="s">
        <v>168</v>
      </c>
      <c r="G1239" s="13" t="s">
        <v>169</v>
      </c>
      <c r="H1239" s="14" t="s">
        <v>168</v>
      </c>
      <c r="I1239" s="14" t="s">
        <v>170</v>
      </c>
      <c r="K1239" s="15" t="s">
        <v>171</v>
      </c>
      <c r="O1239" s="11" t="s">
        <v>3263</v>
      </c>
    </row>
    <row r="1240" spans="1:15" hidden="1" x14ac:dyDescent="0.25">
      <c r="A1240" s="11" t="s">
        <v>134</v>
      </c>
      <c r="D1240" s="12" t="s">
        <v>168</v>
      </c>
      <c r="G1240" s="13" t="s">
        <v>169</v>
      </c>
      <c r="H1240" s="14" t="s">
        <v>168</v>
      </c>
      <c r="I1240" s="14" t="s">
        <v>170</v>
      </c>
      <c r="K1240" s="15" t="s">
        <v>171</v>
      </c>
      <c r="O1240" s="11" t="s">
        <v>3263</v>
      </c>
    </row>
    <row r="1241" spans="1:15" hidden="1" x14ac:dyDescent="0.25">
      <c r="A1241" s="11" t="s">
        <v>134</v>
      </c>
      <c r="D1241" s="12" t="s">
        <v>168</v>
      </c>
      <c r="G1241" s="13" t="s">
        <v>169</v>
      </c>
      <c r="H1241" s="14" t="s">
        <v>168</v>
      </c>
      <c r="I1241" s="14" t="s">
        <v>170</v>
      </c>
      <c r="K1241" s="15" t="s">
        <v>171</v>
      </c>
      <c r="O1241" s="11" t="s">
        <v>3263</v>
      </c>
    </row>
    <row r="1242" spans="1:15" hidden="1" x14ac:dyDescent="0.25">
      <c r="A1242" s="11" t="s">
        <v>134</v>
      </c>
      <c r="D1242" s="12" t="s">
        <v>168</v>
      </c>
      <c r="G1242" s="13" t="s">
        <v>169</v>
      </c>
      <c r="H1242" s="14" t="s">
        <v>168</v>
      </c>
      <c r="I1242" s="14" t="s">
        <v>170</v>
      </c>
      <c r="K1242" s="15" t="s">
        <v>171</v>
      </c>
      <c r="O1242" s="11" t="s">
        <v>3263</v>
      </c>
    </row>
    <row r="1243" spans="1:15" hidden="1" x14ac:dyDescent="0.25">
      <c r="A1243" s="11" t="s">
        <v>134</v>
      </c>
      <c r="D1243" s="12" t="s">
        <v>168</v>
      </c>
      <c r="G1243" s="13" t="s">
        <v>169</v>
      </c>
      <c r="H1243" s="14" t="s">
        <v>168</v>
      </c>
      <c r="I1243" s="14" t="s">
        <v>170</v>
      </c>
      <c r="K1243" s="15" t="s">
        <v>171</v>
      </c>
      <c r="O1243" s="11" t="s">
        <v>3263</v>
      </c>
    </row>
    <row r="1244" spans="1:15" hidden="1" x14ac:dyDescent="0.25">
      <c r="A1244" s="11" t="s">
        <v>134</v>
      </c>
      <c r="D1244" s="12" t="s">
        <v>168</v>
      </c>
      <c r="G1244" s="13" t="s">
        <v>169</v>
      </c>
      <c r="H1244" s="14" t="s">
        <v>168</v>
      </c>
      <c r="I1244" s="14" t="s">
        <v>170</v>
      </c>
      <c r="K1244" s="15" t="s">
        <v>171</v>
      </c>
      <c r="O1244" s="11" t="s">
        <v>3263</v>
      </c>
    </row>
    <row r="1245" spans="1:15" hidden="1" x14ac:dyDescent="0.25">
      <c r="A1245" s="11" t="s">
        <v>134</v>
      </c>
      <c r="D1245" s="12" t="s">
        <v>168</v>
      </c>
      <c r="G1245" s="13" t="s">
        <v>169</v>
      </c>
      <c r="H1245" s="14" t="s">
        <v>168</v>
      </c>
      <c r="I1245" s="14" t="s">
        <v>170</v>
      </c>
      <c r="K1245" s="15" t="s">
        <v>171</v>
      </c>
      <c r="O1245" s="11" t="s">
        <v>3263</v>
      </c>
    </row>
    <row r="1246" spans="1:15" hidden="1" x14ac:dyDescent="0.25">
      <c r="A1246" s="11" t="s">
        <v>134</v>
      </c>
      <c r="D1246" s="12" t="s">
        <v>168</v>
      </c>
      <c r="G1246" s="13" t="s">
        <v>169</v>
      </c>
      <c r="H1246" s="14" t="s">
        <v>168</v>
      </c>
      <c r="I1246" s="14" t="s">
        <v>170</v>
      </c>
      <c r="K1246" s="15" t="s">
        <v>171</v>
      </c>
      <c r="O1246" s="11" t="s">
        <v>3263</v>
      </c>
    </row>
    <row r="1247" spans="1:15" hidden="1" x14ac:dyDescent="0.25">
      <c r="A1247" s="11" t="s">
        <v>134</v>
      </c>
      <c r="D1247" s="12" t="s">
        <v>168</v>
      </c>
      <c r="G1247" s="13" t="s">
        <v>169</v>
      </c>
      <c r="H1247" s="14" t="s">
        <v>168</v>
      </c>
      <c r="I1247" s="14" t="s">
        <v>170</v>
      </c>
      <c r="K1247" s="15" t="s">
        <v>171</v>
      </c>
      <c r="O1247" s="11" t="s">
        <v>3263</v>
      </c>
    </row>
    <row r="1248" spans="1:15" hidden="1" x14ac:dyDescent="0.25">
      <c r="A1248" s="11" t="s">
        <v>134</v>
      </c>
      <c r="D1248" s="12" t="s">
        <v>168</v>
      </c>
      <c r="G1248" s="13" t="s">
        <v>169</v>
      </c>
      <c r="H1248" s="14" t="s">
        <v>168</v>
      </c>
      <c r="I1248" s="14" t="s">
        <v>170</v>
      </c>
      <c r="K1248" s="15" t="s">
        <v>171</v>
      </c>
      <c r="O1248" s="11" t="s">
        <v>3263</v>
      </c>
    </row>
    <row r="1249" spans="1:15" hidden="1" x14ac:dyDescent="0.25">
      <c r="A1249" s="11" t="s">
        <v>134</v>
      </c>
      <c r="D1249" s="12" t="s">
        <v>168</v>
      </c>
      <c r="G1249" s="13" t="s">
        <v>169</v>
      </c>
      <c r="H1249" s="14" t="s">
        <v>168</v>
      </c>
      <c r="I1249" s="14" t="s">
        <v>170</v>
      </c>
      <c r="K1249" s="15" t="s">
        <v>171</v>
      </c>
      <c r="O1249" s="11" t="s">
        <v>3263</v>
      </c>
    </row>
    <row r="1250" spans="1:15" hidden="1" x14ac:dyDescent="0.25">
      <c r="A1250" s="11" t="s">
        <v>134</v>
      </c>
      <c r="D1250" s="12" t="s">
        <v>168</v>
      </c>
      <c r="G1250" s="13" t="s">
        <v>169</v>
      </c>
      <c r="H1250" s="14" t="s">
        <v>168</v>
      </c>
      <c r="I1250" s="14" t="s">
        <v>170</v>
      </c>
      <c r="K1250" s="15" t="s">
        <v>171</v>
      </c>
      <c r="O1250" s="11" t="s">
        <v>3263</v>
      </c>
    </row>
    <row r="1251" spans="1:15" hidden="1" x14ac:dyDescent="0.25">
      <c r="A1251" s="11" t="s">
        <v>134</v>
      </c>
      <c r="D1251" s="12" t="s">
        <v>168</v>
      </c>
      <c r="G1251" s="13" t="s">
        <v>169</v>
      </c>
      <c r="H1251" s="14" t="s">
        <v>168</v>
      </c>
      <c r="I1251" s="14" t="s">
        <v>170</v>
      </c>
      <c r="K1251" s="15" t="s">
        <v>171</v>
      </c>
      <c r="O1251" s="11" t="s">
        <v>3263</v>
      </c>
    </row>
    <row r="1252" spans="1:15" hidden="1" x14ac:dyDescent="0.25">
      <c r="A1252" s="11" t="s">
        <v>134</v>
      </c>
      <c r="D1252" s="12" t="s">
        <v>173</v>
      </c>
      <c r="G1252" s="13" t="s">
        <v>174</v>
      </c>
      <c r="H1252" s="14" t="s">
        <v>175</v>
      </c>
      <c r="I1252" s="14" t="s">
        <v>176</v>
      </c>
      <c r="K1252" s="15" t="s">
        <v>177</v>
      </c>
      <c r="O1252" s="11" t="s">
        <v>3263</v>
      </c>
    </row>
    <row r="1253" spans="1:15" hidden="1" x14ac:dyDescent="0.25">
      <c r="A1253" s="11" t="s">
        <v>134</v>
      </c>
      <c r="D1253" s="12" t="s">
        <v>168</v>
      </c>
      <c r="G1253" s="13" t="s">
        <v>169</v>
      </c>
      <c r="H1253" s="14" t="s">
        <v>168</v>
      </c>
      <c r="I1253" s="14" t="s">
        <v>170</v>
      </c>
      <c r="K1253" s="15" t="s">
        <v>171</v>
      </c>
      <c r="O1253" s="11" t="s">
        <v>3263</v>
      </c>
    </row>
    <row r="1254" spans="1:15" hidden="1" x14ac:dyDescent="0.25">
      <c r="A1254" s="11" t="s">
        <v>134</v>
      </c>
      <c r="D1254" s="12" t="s">
        <v>168</v>
      </c>
      <c r="G1254" s="13" t="s">
        <v>169</v>
      </c>
      <c r="H1254" s="14" t="s">
        <v>168</v>
      </c>
      <c r="I1254" s="14" t="s">
        <v>170</v>
      </c>
      <c r="K1254" s="15" t="s">
        <v>171</v>
      </c>
      <c r="O1254" s="11" t="s">
        <v>3263</v>
      </c>
    </row>
    <row r="1255" spans="1:15" hidden="1" x14ac:dyDescent="0.25">
      <c r="A1255" s="11" t="s">
        <v>134</v>
      </c>
      <c r="D1255" s="12" t="s">
        <v>168</v>
      </c>
      <c r="G1255" s="13" t="s">
        <v>169</v>
      </c>
      <c r="H1255" s="14" t="s">
        <v>168</v>
      </c>
      <c r="I1255" s="14" t="s">
        <v>170</v>
      </c>
      <c r="K1255" s="15" t="s">
        <v>171</v>
      </c>
      <c r="O1255" s="11" t="s">
        <v>3263</v>
      </c>
    </row>
    <row r="1256" spans="1:15" hidden="1" x14ac:dyDescent="0.25">
      <c r="A1256" s="11" t="s">
        <v>134</v>
      </c>
      <c r="D1256" s="12" t="s">
        <v>168</v>
      </c>
      <c r="G1256" s="13" t="s">
        <v>169</v>
      </c>
      <c r="H1256" s="14" t="s">
        <v>168</v>
      </c>
      <c r="I1256" s="14" t="s">
        <v>170</v>
      </c>
      <c r="K1256" s="15" t="s">
        <v>171</v>
      </c>
      <c r="O1256" s="11" t="s">
        <v>3263</v>
      </c>
    </row>
    <row r="1257" spans="1:15" hidden="1" x14ac:dyDescent="0.25">
      <c r="A1257" s="11" t="s">
        <v>134</v>
      </c>
      <c r="D1257" s="12" t="s">
        <v>168</v>
      </c>
      <c r="G1257" s="13" t="s">
        <v>169</v>
      </c>
      <c r="H1257" s="14" t="s">
        <v>168</v>
      </c>
      <c r="I1257" s="14" t="s">
        <v>170</v>
      </c>
      <c r="K1257" s="15" t="s">
        <v>171</v>
      </c>
      <c r="O1257" s="11" t="s">
        <v>3263</v>
      </c>
    </row>
    <row r="1258" spans="1:15" hidden="1" x14ac:dyDescent="0.25">
      <c r="A1258" s="11" t="s">
        <v>134</v>
      </c>
      <c r="D1258" s="12" t="s">
        <v>168</v>
      </c>
      <c r="G1258" s="13" t="s">
        <v>169</v>
      </c>
      <c r="H1258" s="14" t="s">
        <v>168</v>
      </c>
      <c r="I1258" s="14" t="s">
        <v>170</v>
      </c>
      <c r="K1258" s="15" t="s">
        <v>171</v>
      </c>
      <c r="O1258" s="11" t="s">
        <v>3263</v>
      </c>
    </row>
    <row r="1259" spans="1:15" hidden="1" x14ac:dyDescent="0.25">
      <c r="A1259" s="11" t="s">
        <v>134</v>
      </c>
      <c r="D1259" s="12" t="s">
        <v>168</v>
      </c>
      <c r="G1259" s="13" t="s">
        <v>169</v>
      </c>
      <c r="H1259" s="14" t="s">
        <v>168</v>
      </c>
      <c r="I1259" s="14" t="s">
        <v>170</v>
      </c>
      <c r="K1259" s="15" t="s">
        <v>171</v>
      </c>
      <c r="O1259" s="11" t="s">
        <v>3263</v>
      </c>
    </row>
    <row r="1260" spans="1:15" hidden="1" x14ac:dyDescent="0.25">
      <c r="A1260" s="11" t="s">
        <v>134</v>
      </c>
      <c r="D1260" s="12" t="s">
        <v>168</v>
      </c>
      <c r="G1260" s="13" t="s">
        <v>169</v>
      </c>
      <c r="H1260" s="14" t="s">
        <v>168</v>
      </c>
      <c r="I1260" s="14" t="s">
        <v>170</v>
      </c>
      <c r="K1260" s="15" t="s">
        <v>171</v>
      </c>
      <c r="O1260" s="11" t="s">
        <v>3263</v>
      </c>
    </row>
    <row r="1261" spans="1:15" hidden="1" x14ac:dyDescent="0.25">
      <c r="A1261" s="11" t="s">
        <v>134</v>
      </c>
      <c r="D1261" s="12" t="s">
        <v>168</v>
      </c>
      <c r="G1261" s="13" t="s">
        <v>169</v>
      </c>
      <c r="H1261" s="14" t="s">
        <v>168</v>
      </c>
      <c r="I1261" s="14" t="s">
        <v>170</v>
      </c>
      <c r="K1261" s="15" t="s">
        <v>171</v>
      </c>
      <c r="O1261" s="11" t="s">
        <v>3263</v>
      </c>
    </row>
    <row r="1262" spans="1:15" hidden="1" x14ac:dyDescent="0.25">
      <c r="A1262" s="11" t="s">
        <v>134</v>
      </c>
      <c r="D1262" s="12" t="s">
        <v>168</v>
      </c>
      <c r="G1262" s="13" t="s">
        <v>169</v>
      </c>
      <c r="H1262" s="14" t="s">
        <v>168</v>
      </c>
      <c r="I1262" s="14" t="s">
        <v>170</v>
      </c>
      <c r="K1262" s="15" t="s">
        <v>171</v>
      </c>
      <c r="O1262" s="11" t="s">
        <v>3263</v>
      </c>
    </row>
    <row r="1263" spans="1:15" hidden="1" x14ac:dyDescent="0.25">
      <c r="A1263" s="11" t="s">
        <v>134</v>
      </c>
      <c r="D1263" s="12" t="s">
        <v>168</v>
      </c>
      <c r="G1263" s="13" t="s">
        <v>169</v>
      </c>
      <c r="H1263" s="14" t="s">
        <v>168</v>
      </c>
      <c r="I1263" s="14" t="s">
        <v>170</v>
      </c>
      <c r="K1263" s="15" t="s">
        <v>171</v>
      </c>
      <c r="O1263" s="11" t="s">
        <v>3263</v>
      </c>
    </row>
    <row r="1264" spans="1:15" hidden="1" x14ac:dyDescent="0.25">
      <c r="A1264" s="11" t="s">
        <v>134</v>
      </c>
      <c r="D1264" s="12" t="s">
        <v>168</v>
      </c>
      <c r="G1264" s="13" t="s">
        <v>169</v>
      </c>
      <c r="H1264" s="14" t="s">
        <v>168</v>
      </c>
      <c r="I1264" s="14" t="s">
        <v>170</v>
      </c>
      <c r="K1264" s="15" t="s">
        <v>171</v>
      </c>
      <c r="O1264" s="11" t="s">
        <v>3263</v>
      </c>
    </row>
    <row r="1265" spans="1:15" hidden="1" x14ac:dyDescent="0.25">
      <c r="A1265" s="11" t="s">
        <v>134</v>
      </c>
      <c r="D1265" s="12" t="s">
        <v>168</v>
      </c>
      <c r="G1265" s="13" t="s">
        <v>169</v>
      </c>
      <c r="H1265" s="14" t="s">
        <v>168</v>
      </c>
      <c r="I1265" s="14" t="s">
        <v>170</v>
      </c>
      <c r="K1265" s="15" t="s">
        <v>171</v>
      </c>
      <c r="O1265" s="11" t="s">
        <v>3263</v>
      </c>
    </row>
    <row r="1266" spans="1:15" hidden="1" x14ac:dyDescent="0.25">
      <c r="A1266" s="11" t="s">
        <v>134</v>
      </c>
      <c r="D1266" s="12" t="s">
        <v>168</v>
      </c>
      <c r="G1266" s="13" t="s">
        <v>169</v>
      </c>
      <c r="H1266" s="14" t="s">
        <v>168</v>
      </c>
      <c r="I1266" s="14" t="s">
        <v>170</v>
      </c>
      <c r="K1266" s="15" t="s">
        <v>171</v>
      </c>
      <c r="O1266" s="11" t="s">
        <v>3263</v>
      </c>
    </row>
    <row r="1267" spans="1:15" hidden="1" x14ac:dyDescent="0.25">
      <c r="A1267" s="11" t="s">
        <v>134</v>
      </c>
      <c r="D1267" s="12" t="s">
        <v>168</v>
      </c>
      <c r="G1267" s="13" t="s">
        <v>169</v>
      </c>
      <c r="H1267" s="14" t="s">
        <v>168</v>
      </c>
      <c r="I1267" s="14" t="s">
        <v>170</v>
      </c>
      <c r="K1267" s="15" t="s">
        <v>171</v>
      </c>
      <c r="O1267" s="11" t="s">
        <v>3263</v>
      </c>
    </row>
    <row r="1268" spans="1:15" hidden="1" x14ac:dyDescent="0.25">
      <c r="A1268" s="11" t="s">
        <v>23</v>
      </c>
      <c r="B1268" s="11" t="s">
        <v>863</v>
      </c>
      <c r="C1268" s="12" t="s">
        <v>1138</v>
      </c>
      <c r="D1268" s="12" t="s">
        <v>1317</v>
      </c>
      <c r="E1268" s="13">
        <v>1</v>
      </c>
      <c r="F1268" s="111">
        <v>2511</v>
      </c>
      <c r="G1268" s="13" t="s">
        <v>1318</v>
      </c>
      <c r="H1268" s="14" t="s">
        <v>274</v>
      </c>
      <c r="I1268" s="14" t="s">
        <v>1319</v>
      </c>
      <c r="J1268" s="12" t="s">
        <v>661</v>
      </c>
      <c r="K1268" s="15" t="s">
        <v>1320</v>
      </c>
      <c r="O1268" s="11" t="s">
        <v>1321</v>
      </c>
    </row>
    <row r="1269" spans="1:15" hidden="1" x14ac:dyDescent="0.25">
      <c r="A1269" s="11" t="s">
        <v>23</v>
      </c>
      <c r="B1269" s="11" t="s">
        <v>863</v>
      </c>
      <c r="C1269" s="12" t="s">
        <v>1138</v>
      </c>
      <c r="D1269" s="12" t="s">
        <v>1139</v>
      </c>
      <c r="E1269" s="13">
        <v>1</v>
      </c>
      <c r="F1269" s="111">
        <v>2513</v>
      </c>
      <c r="G1269" s="13" t="s">
        <v>1140</v>
      </c>
      <c r="H1269" s="14" t="s">
        <v>274</v>
      </c>
      <c r="I1269" s="14" t="s">
        <v>1141</v>
      </c>
      <c r="J1269" s="12" t="s">
        <v>661</v>
      </c>
      <c r="K1269" s="15" t="s">
        <v>1142</v>
      </c>
      <c r="O1269" s="11" t="s">
        <v>1143</v>
      </c>
    </row>
    <row r="1270" spans="1:15" hidden="1" x14ac:dyDescent="0.25">
      <c r="A1270" s="11" t="s">
        <v>23</v>
      </c>
      <c r="B1270" s="11" t="s">
        <v>863</v>
      </c>
      <c r="C1270" s="12" t="s">
        <v>1138</v>
      </c>
      <c r="D1270" s="12" t="s">
        <v>1144</v>
      </c>
      <c r="E1270" s="13">
        <v>1</v>
      </c>
      <c r="F1270" s="111">
        <v>2513</v>
      </c>
      <c r="G1270" s="13" t="s">
        <v>1145</v>
      </c>
      <c r="H1270" s="14" t="s">
        <v>274</v>
      </c>
      <c r="I1270" s="14" t="s">
        <v>1146</v>
      </c>
      <c r="J1270" s="12" t="s">
        <v>661</v>
      </c>
      <c r="K1270" s="15" t="s">
        <v>1147</v>
      </c>
      <c r="O1270" s="11" t="s">
        <v>1148</v>
      </c>
    </row>
    <row r="1271" spans="1:15" hidden="1" x14ac:dyDescent="0.25">
      <c r="A1271" s="11" t="s">
        <v>23</v>
      </c>
      <c r="B1271" s="11" t="s">
        <v>863</v>
      </c>
      <c r="C1271" s="12" t="s">
        <v>1138</v>
      </c>
      <c r="D1271" s="12" t="s">
        <v>1309</v>
      </c>
      <c r="E1271" s="13">
        <v>1</v>
      </c>
      <c r="F1271" s="111">
        <v>2514</v>
      </c>
      <c r="G1271" s="13" t="s">
        <v>1933</v>
      </c>
      <c r="H1271" s="14" t="s">
        <v>274</v>
      </c>
      <c r="I1271" s="14" t="s">
        <v>1934</v>
      </c>
      <c r="J1271" s="12" t="s">
        <v>661</v>
      </c>
      <c r="K1271" s="15" t="s">
        <v>1935</v>
      </c>
      <c r="O1271" s="11" t="s">
        <v>1936</v>
      </c>
    </row>
    <row r="1272" spans="1:15" hidden="1" x14ac:dyDescent="0.25">
      <c r="A1272" s="11" t="s">
        <v>23</v>
      </c>
      <c r="B1272" s="11" t="s">
        <v>863</v>
      </c>
      <c r="C1272" s="12" t="s">
        <v>1138</v>
      </c>
      <c r="D1272" s="12" t="s">
        <v>1309</v>
      </c>
      <c r="E1272" s="13">
        <v>2</v>
      </c>
      <c r="F1272" s="111">
        <v>2514</v>
      </c>
      <c r="G1272" s="13" t="s">
        <v>1937</v>
      </c>
      <c r="H1272" s="14" t="s">
        <v>274</v>
      </c>
      <c r="I1272" s="14" t="s">
        <v>1938</v>
      </c>
      <c r="J1272" s="12" t="s">
        <v>661</v>
      </c>
      <c r="K1272" s="15" t="s">
        <v>1939</v>
      </c>
      <c r="O1272" s="11" t="s">
        <v>1936</v>
      </c>
    </row>
    <row r="1273" spans="1:15" hidden="1" x14ac:dyDescent="0.25">
      <c r="A1273" s="11" t="s">
        <v>23</v>
      </c>
      <c r="B1273" s="11" t="s">
        <v>863</v>
      </c>
      <c r="C1273" s="12" t="s">
        <v>1138</v>
      </c>
      <c r="D1273" s="12" t="s">
        <v>1309</v>
      </c>
      <c r="E1273" s="13">
        <v>1</v>
      </c>
      <c r="F1273" s="111">
        <v>2516</v>
      </c>
      <c r="G1273" s="13" t="s">
        <v>1314</v>
      </c>
      <c r="H1273" s="14" t="s">
        <v>274</v>
      </c>
      <c r="I1273" s="14" t="s">
        <v>1315</v>
      </c>
      <c r="J1273" s="12" t="s">
        <v>661</v>
      </c>
      <c r="K1273" s="15" t="s">
        <v>1316</v>
      </c>
      <c r="O1273" s="11" t="s">
        <v>1313</v>
      </c>
    </row>
    <row r="1274" spans="1:15" hidden="1" x14ac:dyDescent="0.25">
      <c r="A1274" s="11" t="s">
        <v>23</v>
      </c>
      <c r="B1274" s="11" t="s">
        <v>863</v>
      </c>
      <c r="C1274" s="12" t="s">
        <v>1138</v>
      </c>
      <c r="D1274" s="12" t="s">
        <v>1309</v>
      </c>
      <c r="E1274" s="13">
        <v>2</v>
      </c>
      <c r="F1274" s="111">
        <v>2516</v>
      </c>
      <c r="G1274" s="13" t="s">
        <v>1310</v>
      </c>
      <c r="H1274" s="14" t="s">
        <v>274</v>
      </c>
      <c r="I1274" s="14" t="s">
        <v>1311</v>
      </c>
      <c r="J1274" s="12" t="s">
        <v>661</v>
      </c>
      <c r="K1274" s="15" t="s">
        <v>1312</v>
      </c>
      <c r="O1274" s="11" t="s">
        <v>1313</v>
      </c>
    </row>
    <row r="1275" spans="1:15" hidden="1" x14ac:dyDescent="0.25">
      <c r="A1275" s="11" t="s">
        <v>134</v>
      </c>
      <c r="D1275" s="12" t="s">
        <v>168</v>
      </c>
      <c r="G1275" s="13" t="s">
        <v>169</v>
      </c>
      <c r="H1275" s="14" t="s">
        <v>168</v>
      </c>
      <c r="I1275" s="14" t="s">
        <v>170</v>
      </c>
      <c r="K1275" s="15" t="s">
        <v>171</v>
      </c>
      <c r="O1275" s="11" t="s">
        <v>3263</v>
      </c>
    </row>
    <row r="1276" spans="1:15" hidden="1" x14ac:dyDescent="0.25">
      <c r="A1276" s="11" t="s">
        <v>134</v>
      </c>
      <c r="D1276" s="12" t="s">
        <v>168</v>
      </c>
      <c r="G1276" s="13" t="s">
        <v>169</v>
      </c>
      <c r="H1276" s="14" t="s">
        <v>168</v>
      </c>
      <c r="I1276" s="14" t="s">
        <v>170</v>
      </c>
      <c r="K1276" s="15" t="s">
        <v>171</v>
      </c>
      <c r="O1276" s="11" t="s">
        <v>3263</v>
      </c>
    </row>
    <row r="1277" spans="1:15" hidden="1" x14ac:dyDescent="0.25">
      <c r="A1277" s="11" t="s">
        <v>134</v>
      </c>
      <c r="D1277" s="12" t="s">
        <v>168</v>
      </c>
      <c r="G1277" s="13" t="s">
        <v>169</v>
      </c>
      <c r="H1277" s="14" t="s">
        <v>168</v>
      </c>
      <c r="I1277" s="14" t="s">
        <v>170</v>
      </c>
      <c r="K1277" s="15" t="s">
        <v>171</v>
      </c>
      <c r="O1277" s="11" t="s">
        <v>3263</v>
      </c>
    </row>
    <row r="1278" spans="1:15" hidden="1" x14ac:dyDescent="0.25">
      <c r="A1278" s="11" t="s">
        <v>134</v>
      </c>
      <c r="D1278" s="12" t="s">
        <v>168</v>
      </c>
      <c r="G1278" s="13" t="s">
        <v>169</v>
      </c>
      <c r="H1278" s="14" t="s">
        <v>168</v>
      </c>
      <c r="I1278" s="14" t="s">
        <v>170</v>
      </c>
      <c r="K1278" s="15" t="s">
        <v>171</v>
      </c>
      <c r="O1278" s="11" t="s">
        <v>3263</v>
      </c>
    </row>
    <row r="1279" spans="1:15" hidden="1" x14ac:dyDescent="0.25">
      <c r="A1279" s="11" t="s">
        <v>134</v>
      </c>
      <c r="D1279" s="12" t="s">
        <v>168</v>
      </c>
      <c r="G1279" s="13" t="s">
        <v>169</v>
      </c>
      <c r="H1279" s="14" t="s">
        <v>168</v>
      </c>
      <c r="I1279" s="14" t="s">
        <v>170</v>
      </c>
      <c r="K1279" s="15" t="s">
        <v>171</v>
      </c>
      <c r="O1279" s="11" t="s">
        <v>3263</v>
      </c>
    </row>
    <row r="1280" spans="1:15" hidden="1" x14ac:dyDescent="0.25">
      <c r="A1280" s="11" t="s">
        <v>134</v>
      </c>
      <c r="D1280" s="12" t="s">
        <v>168</v>
      </c>
      <c r="G1280" s="13" t="s">
        <v>169</v>
      </c>
      <c r="H1280" s="14" t="s">
        <v>168</v>
      </c>
      <c r="I1280" s="14" t="s">
        <v>170</v>
      </c>
      <c r="K1280" s="15" t="s">
        <v>171</v>
      </c>
      <c r="O1280" s="11" t="s">
        <v>3263</v>
      </c>
    </row>
    <row r="1281" spans="1:15" hidden="1" x14ac:dyDescent="0.25">
      <c r="A1281" s="11" t="s">
        <v>134</v>
      </c>
      <c r="D1281" s="12" t="s">
        <v>168</v>
      </c>
      <c r="G1281" s="13" t="s">
        <v>169</v>
      </c>
      <c r="H1281" s="14" t="s">
        <v>168</v>
      </c>
      <c r="I1281" s="14" t="s">
        <v>170</v>
      </c>
      <c r="K1281" s="15" t="s">
        <v>171</v>
      </c>
      <c r="O1281" s="11" t="s">
        <v>3263</v>
      </c>
    </row>
    <row r="1282" spans="1:15" hidden="1" x14ac:dyDescent="0.25">
      <c r="A1282" s="11" t="s">
        <v>134</v>
      </c>
      <c r="D1282" s="12" t="s">
        <v>168</v>
      </c>
      <c r="G1282" s="13" t="s">
        <v>169</v>
      </c>
      <c r="H1282" s="14" t="s">
        <v>168</v>
      </c>
      <c r="I1282" s="14" t="s">
        <v>170</v>
      </c>
      <c r="K1282" s="15" t="s">
        <v>171</v>
      </c>
      <c r="O1282" s="11" t="s">
        <v>3263</v>
      </c>
    </row>
    <row r="1283" spans="1:15" hidden="1" x14ac:dyDescent="0.25">
      <c r="A1283" s="11" t="s">
        <v>23</v>
      </c>
      <c r="B1283" s="11" t="s">
        <v>2429</v>
      </c>
      <c r="C1283" s="12" t="s">
        <v>2430</v>
      </c>
      <c r="D1283" s="12" t="s">
        <v>2436</v>
      </c>
      <c r="E1283" s="13">
        <v>1</v>
      </c>
      <c r="F1283" s="111">
        <v>3212</v>
      </c>
      <c r="G1283" s="13" t="s">
        <v>2437</v>
      </c>
      <c r="H1283" s="14" t="s">
        <v>274</v>
      </c>
      <c r="I1283" s="14" t="s">
        <v>2438</v>
      </c>
      <c r="J1283" s="12" t="s">
        <v>661</v>
      </c>
      <c r="K1283" s="15" t="s">
        <v>2439</v>
      </c>
      <c r="O1283" s="11" t="s">
        <v>2440</v>
      </c>
    </row>
    <row r="1284" spans="1:15" hidden="1" x14ac:dyDescent="0.25">
      <c r="A1284" s="11" t="s">
        <v>23</v>
      </c>
      <c r="B1284" s="11" t="s">
        <v>2429</v>
      </c>
      <c r="C1284" s="12" t="s">
        <v>2430</v>
      </c>
      <c r="D1284" s="12" t="s">
        <v>2431</v>
      </c>
      <c r="E1284" s="13">
        <v>1</v>
      </c>
      <c r="F1284" s="111">
        <v>3219</v>
      </c>
      <c r="G1284" s="13" t="s">
        <v>2432</v>
      </c>
      <c r="H1284" s="14" t="s">
        <v>274</v>
      </c>
      <c r="I1284" s="14" t="s">
        <v>2433</v>
      </c>
      <c r="J1284" s="12" t="s">
        <v>661</v>
      </c>
      <c r="K1284" s="15" t="s">
        <v>2434</v>
      </c>
      <c r="O1284" s="11" t="s">
        <v>2435</v>
      </c>
    </row>
    <row r="1285" spans="1:15" hidden="1" x14ac:dyDescent="0.25">
      <c r="A1285" s="11" t="s">
        <v>134</v>
      </c>
      <c r="D1285" s="12" t="s">
        <v>168</v>
      </c>
      <c r="G1285" s="13" t="s">
        <v>169</v>
      </c>
      <c r="H1285" s="14" t="s">
        <v>168</v>
      </c>
      <c r="I1285" s="14" t="s">
        <v>170</v>
      </c>
      <c r="K1285" s="15" t="s">
        <v>171</v>
      </c>
      <c r="O1285" s="11" t="s">
        <v>3263</v>
      </c>
    </row>
    <row r="1286" spans="1:15" hidden="1" x14ac:dyDescent="0.25">
      <c r="A1286" s="11" t="s">
        <v>134</v>
      </c>
      <c r="D1286" s="12" t="s">
        <v>168</v>
      </c>
      <c r="G1286" s="13" t="s">
        <v>169</v>
      </c>
      <c r="H1286" s="14" t="s">
        <v>168</v>
      </c>
      <c r="I1286" s="14" t="s">
        <v>170</v>
      </c>
      <c r="K1286" s="15" t="s">
        <v>171</v>
      </c>
      <c r="O1286" s="11" t="s">
        <v>3263</v>
      </c>
    </row>
    <row r="1287" spans="1:15" hidden="1" x14ac:dyDescent="0.25">
      <c r="A1287" s="11" t="s">
        <v>134</v>
      </c>
      <c r="D1287" s="12" t="s">
        <v>168</v>
      </c>
      <c r="G1287" s="13" t="s">
        <v>169</v>
      </c>
      <c r="H1287" s="14" t="s">
        <v>168</v>
      </c>
      <c r="I1287" s="14" t="s">
        <v>170</v>
      </c>
      <c r="K1287" s="15" t="s">
        <v>171</v>
      </c>
      <c r="O1287" s="11" t="s">
        <v>3263</v>
      </c>
    </row>
    <row r="1288" spans="1:15" hidden="1" x14ac:dyDescent="0.25">
      <c r="A1288" s="11" t="s">
        <v>134</v>
      </c>
      <c r="D1288" s="12" t="s">
        <v>168</v>
      </c>
      <c r="G1288" s="13" t="s">
        <v>169</v>
      </c>
      <c r="H1288" s="14" t="s">
        <v>168</v>
      </c>
      <c r="I1288" s="14" t="s">
        <v>170</v>
      </c>
      <c r="K1288" s="15" t="s">
        <v>171</v>
      </c>
      <c r="O1288" s="11" t="s">
        <v>3263</v>
      </c>
    </row>
    <row r="1289" spans="1:15" hidden="1" x14ac:dyDescent="0.25">
      <c r="A1289" s="11" t="s">
        <v>134</v>
      </c>
      <c r="D1289" s="12" t="s">
        <v>173</v>
      </c>
      <c r="G1289" s="13" t="s">
        <v>174</v>
      </c>
      <c r="H1289" s="14" t="s">
        <v>175</v>
      </c>
      <c r="I1289" s="14" t="s">
        <v>176</v>
      </c>
      <c r="K1289" s="15" t="s">
        <v>177</v>
      </c>
      <c r="O1289" s="11" t="s">
        <v>3263</v>
      </c>
    </row>
    <row r="1290" spans="1:15" hidden="1" x14ac:dyDescent="0.25">
      <c r="A1290" s="11" t="s">
        <v>134</v>
      </c>
      <c r="D1290" s="12" t="s">
        <v>173</v>
      </c>
      <c r="G1290" s="13" t="s">
        <v>178</v>
      </c>
      <c r="H1290" s="14" t="s">
        <v>175</v>
      </c>
      <c r="I1290" s="14" t="s">
        <v>179</v>
      </c>
      <c r="K1290" s="15" t="s">
        <v>180</v>
      </c>
      <c r="O1290" s="11" t="s">
        <v>3263</v>
      </c>
    </row>
    <row r="1291" spans="1:15" hidden="1" x14ac:dyDescent="0.25">
      <c r="A1291" s="11" t="s">
        <v>134</v>
      </c>
      <c r="D1291" s="12" t="s">
        <v>173</v>
      </c>
      <c r="G1291" s="13" t="s">
        <v>181</v>
      </c>
      <c r="H1291" s="14" t="s">
        <v>175</v>
      </c>
      <c r="I1291" s="14" t="s">
        <v>182</v>
      </c>
      <c r="K1291" s="15" t="s">
        <v>183</v>
      </c>
      <c r="O1291" s="11" t="s">
        <v>3263</v>
      </c>
    </row>
    <row r="1292" spans="1:15" hidden="1" x14ac:dyDescent="0.25">
      <c r="A1292" s="11" t="s">
        <v>134</v>
      </c>
      <c r="D1292" s="12" t="s">
        <v>168</v>
      </c>
      <c r="G1292" s="13" t="s">
        <v>169</v>
      </c>
      <c r="H1292" s="14" t="s">
        <v>168</v>
      </c>
      <c r="I1292" s="14" t="s">
        <v>170</v>
      </c>
      <c r="K1292" s="15" t="s">
        <v>171</v>
      </c>
      <c r="O1292" s="11" t="s">
        <v>3263</v>
      </c>
    </row>
    <row r="1293" spans="1:15" hidden="1" x14ac:dyDescent="0.25">
      <c r="A1293" s="11" t="s">
        <v>134</v>
      </c>
      <c r="D1293" s="12" t="s">
        <v>168</v>
      </c>
      <c r="G1293" s="13" t="s">
        <v>169</v>
      </c>
      <c r="H1293" s="14" t="s">
        <v>168</v>
      </c>
      <c r="I1293" s="14" t="s">
        <v>170</v>
      </c>
      <c r="K1293" s="15" t="s">
        <v>171</v>
      </c>
      <c r="O1293" s="11" t="s">
        <v>3263</v>
      </c>
    </row>
    <row r="1294" spans="1:15" hidden="1" x14ac:dyDescent="0.25">
      <c r="A1294" s="11" t="s">
        <v>134</v>
      </c>
      <c r="D1294" s="12" t="s">
        <v>173</v>
      </c>
      <c r="G1294" s="13" t="s">
        <v>174</v>
      </c>
      <c r="H1294" s="14" t="s">
        <v>175</v>
      </c>
      <c r="I1294" s="14" t="s">
        <v>176</v>
      </c>
      <c r="K1294" s="15" t="s">
        <v>177</v>
      </c>
      <c r="O1294" s="11" t="s">
        <v>3263</v>
      </c>
    </row>
    <row r="1295" spans="1:15" hidden="1" x14ac:dyDescent="0.25">
      <c r="A1295" s="11" t="s">
        <v>23</v>
      </c>
      <c r="H1295" s="14" t="s">
        <v>110</v>
      </c>
      <c r="I1295" s="14" t="s">
        <v>110</v>
      </c>
      <c r="K1295" s="15" t="s">
        <v>3061</v>
      </c>
    </row>
    <row r="1296" spans="1:15" hidden="1" x14ac:dyDescent="0.25">
      <c r="A1296" s="11" t="s">
        <v>23</v>
      </c>
      <c r="H1296" s="14" t="s">
        <v>110</v>
      </c>
      <c r="I1296" s="14" t="s">
        <v>110</v>
      </c>
      <c r="K1296" s="15" t="s">
        <v>3062</v>
      </c>
    </row>
    <row r="1297" spans="1:15" hidden="1" x14ac:dyDescent="0.25">
      <c r="A1297" s="11" t="s">
        <v>134</v>
      </c>
      <c r="D1297" s="12" t="s">
        <v>173</v>
      </c>
      <c r="G1297" s="13" t="s">
        <v>178</v>
      </c>
      <c r="H1297" s="14" t="s">
        <v>175</v>
      </c>
      <c r="I1297" s="14" t="s">
        <v>179</v>
      </c>
      <c r="K1297" s="15" t="s">
        <v>180</v>
      </c>
      <c r="O1297" s="11" t="s">
        <v>3263</v>
      </c>
    </row>
    <row r="1298" spans="1:15" hidden="1" x14ac:dyDescent="0.25">
      <c r="A1298" s="11" t="s">
        <v>2</v>
      </c>
      <c r="D1298" s="12" t="s">
        <v>275</v>
      </c>
      <c r="G1298" s="13" t="s">
        <v>276</v>
      </c>
      <c r="H1298" s="14" t="s">
        <v>277</v>
      </c>
      <c r="I1298" s="14" t="s">
        <v>278</v>
      </c>
      <c r="K1298" s="15" t="s">
        <v>279</v>
      </c>
      <c r="O1298" s="11" t="s">
        <v>172</v>
      </c>
    </row>
    <row r="1299" spans="1:15" hidden="1" x14ac:dyDescent="0.25">
      <c r="A1299" s="11" t="s">
        <v>2</v>
      </c>
      <c r="D1299" s="12" t="s">
        <v>275</v>
      </c>
      <c r="G1299" s="13" t="s">
        <v>280</v>
      </c>
      <c r="H1299" s="14" t="s">
        <v>277</v>
      </c>
      <c r="I1299" s="14" t="s">
        <v>281</v>
      </c>
      <c r="K1299" s="15" t="s">
        <v>282</v>
      </c>
      <c r="O1299" s="11" t="s">
        <v>172</v>
      </c>
    </row>
    <row r="1300" spans="1:15" hidden="1" x14ac:dyDescent="0.25">
      <c r="A1300" s="11" t="s">
        <v>134</v>
      </c>
      <c r="D1300" s="12" t="s">
        <v>173</v>
      </c>
      <c r="G1300" s="13" t="s">
        <v>181</v>
      </c>
      <c r="H1300" s="14" t="s">
        <v>175</v>
      </c>
      <c r="I1300" s="14" t="s">
        <v>182</v>
      </c>
      <c r="K1300" s="15" t="s">
        <v>183</v>
      </c>
      <c r="O1300" s="11" t="s">
        <v>3263</v>
      </c>
    </row>
    <row r="1301" spans="1:15" hidden="1" x14ac:dyDescent="0.25">
      <c r="A1301" s="11" t="s">
        <v>134</v>
      </c>
      <c r="D1301" s="12" t="s">
        <v>173</v>
      </c>
      <c r="G1301" s="13" t="s">
        <v>184</v>
      </c>
      <c r="H1301" s="14" t="s">
        <v>175</v>
      </c>
      <c r="I1301" s="14" t="s">
        <v>185</v>
      </c>
      <c r="K1301" s="15" t="s">
        <v>186</v>
      </c>
      <c r="O1301" s="11" t="s">
        <v>3263</v>
      </c>
    </row>
    <row r="1302" spans="1:15" hidden="1" x14ac:dyDescent="0.25">
      <c r="A1302" s="11" t="s">
        <v>2</v>
      </c>
      <c r="D1302" s="12" t="s">
        <v>284</v>
      </c>
      <c r="G1302" s="13" t="s">
        <v>285</v>
      </c>
      <c r="H1302" s="14" t="s">
        <v>283</v>
      </c>
      <c r="I1302" s="14" t="s">
        <v>286</v>
      </c>
      <c r="K1302" s="15" t="s">
        <v>287</v>
      </c>
      <c r="O1302" s="11" t="s">
        <v>172</v>
      </c>
    </row>
    <row r="1303" spans="1:15" hidden="1" x14ac:dyDescent="0.25">
      <c r="A1303" s="11" t="s">
        <v>2</v>
      </c>
      <c r="D1303" s="12" t="s">
        <v>288</v>
      </c>
      <c r="G1303" s="13" t="s">
        <v>289</v>
      </c>
      <c r="H1303" s="14" t="s">
        <v>283</v>
      </c>
      <c r="I1303" s="14" t="s">
        <v>290</v>
      </c>
      <c r="K1303" s="15" t="s">
        <v>291</v>
      </c>
      <c r="O1303" s="11" t="s">
        <v>172</v>
      </c>
    </row>
    <row r="1304" spans="1:15" hidden="1" x14ac:dyDescent="0.25">
      <c r="A1304" s="11" t="s">
        <v>134</v>
      </c>
      <c r="D1304" s="12" t="s">
        <v>173</v>
      </c>
      <c r="G1304" s="13" t="s">
        <v>187</v>
      </c>
      <c r="H1304" s="14" t="s">
        <v>175</v>
      </c>
      <c r="I1304" s="14" t="s">
        <v>188</v>
      </c>
      <c r="K1304" s="15" t="s">
        <v>189</v>
      </c>
      <c r="O1304" s="11" t="s">
        <v>3263</v>
      </c>
    </row>
    <row r="1305" spans="1:15" hidden="1" x14ac:dyDescent="0.25">
      <c r="A1305" s="11" t="s">
        <v>2</v>
      </c>
      <c r="D1305" s="12" t="s">
        <v>292</v>
      </c>
      <c r="G1305" s="13" t="s">
        <v>293</v>
      </c>
      <c r="H1305" s="14" t="s">
        <v>283</v>
      </c>
      <c r="I1305" s="14" t="s">
        <v>294</v>
      </c>
      <c r="K1305" s="15" t="s">
        <v>295</v>
      </c>
      <c r="O1305" s="11" t="s">
        <v>172</v>
      </c>
    </row>
    <row r="1306" spans="1:15" hidden="1" x14ac:dyDescent="0.25">
      <c r="A1306" s="11" t="s">
        <v>2</v>
      </c>
      <c r="D1306" s="12" t="s">
        <v>296</v>
      </c>
      <c r="G1306" s="13" t="s">
        <v>297</v>
      </c>
      <c r="H1306" s="14" t="s">
        <v>283</v>
      </c>
      <c r="I1306" s="14" t="s">
        <v>298</v>
      </c>
      <c r="K1306" s="15" t="s">
        <v>299</v>
      </c>
      <c r="O1306" s="11" t="s">
        <v>172</v>
      </c>
    </row>
    <row r="1307" spans="1:15" hidden="1" x14ac:dyDescent="0.25">
      <c r="A1307" s="11" t="s">
        <v>2</v>
      </c>
      <c r="D1307" s="12" t="s">
        <v>300</v>
      </c>
      <c r="G1307" s="13" t="s">
        <v>301</v>
      </c>
      <c r="H1307" s="14" t="s">
        <v>283</v>
      </c>
      <c r="I1307" s="14" t="s">
        <v>302</v>
      </c>
      <c r="K1307" s="15" t="s">
        <v>303</v>
      </c>
      <c r="O1307" s="11" t="s">
        <v>172</v>
      </c>
    </row>
    <row r="1308" spans="1:15" hidden="1" x14ac:dyDescent="0.25">
      <c r="A1308" s="11" t="s">
        <v>2</v>
      </c>
      <c r="D1308" s="12" t="s">
        <v>275</v>
      </c>
      <c r="G1308" s="13" t="s">
        <v>304</v>
      </c>
      <c r="H1308" s="14" t="s">
        <v>277</v>
      </c>
      <c r="I1308" s="14" t="s">
        <v>305</v>
      </c>
      <c r="K1308" s="15" t="s">
        <v>306</v>
      </c>
      <c r="O1308" s="11" t="s">
        <v>172</v>
      </c>
    </row>
    <row r="1309" spans="1:15" hidden="1" x14ac:dyDescent="0.25">
      <c r="A1309" s="11" t="s">
        <v>2</v>
      </c>
      <c r="D1309" s="12" t="s">
        <v>275</v>
      </c>
      <c r="G1309" s="13" t="s">
        <v>276</v>
      </c>
      <c r="H1309" s="14" t="s">
        <v>277</v>
      </c>
      <c r="I1309" s="14" t="s">
        <v>278</v>
      </c>
      <c r="K1309" s="15" t="s">
        <v>279</v>
      </c>
      <c r="O1309" s="11" t="s">
        <v>172</v>
      </c>
    </row>
    <row r="1310" spans="1:15" hidden="1" x14ac:dyDescent="0.25">
      <c r="A1310" s="11" t="s">
        <v>2</v>
      </c>
      <c r="D1310" s="12" t="s">
        <v>275</v>
      </c>
      <c r="G1310" s="13" t="s">
        <v>280</v>
      </c>
      <c r="H1310" s="14" t="s">
        <v>277</v>
      </c>
      <c r="I1310" s="14" t="s">
        <v>281</v>
      </c>
      <c r="K1310" s="15" t="s">
        <v>282</v>
      </c>
      <c r="O1310" s="11" t="s">
        <v>172</v>
      </c>
    </row>
    <row r="1311" spans="1:15" hidden="1" x14ac:dyDescent="0.25">
      <c r="A1311" s="11" t="s">
        <v>134</v>
      </c>
      <c r="D1311" s="12" t="s">
        <v>168</v>
      </c>
      <c r="G1311" s="13" t="s">
        <v>190</v>
      </c>
      <c r="H1311" s="14" t="s">
        <v>168</v>
      </c>
      <c r="I1311" s="14" t="s">
        <v>191</v>
      </c>
      <c r="K1311" s="15" t="s">
        <v>192</v>
      </c>
      <c r="O1311" s="11" t="s">
        <v>3263</v>
      </c>
    </row>
    <row r="1312" spans="1:15" hidden="1" x14ac:dyDescent="0.25">
      <c r="A1312" s="11" t="s">
        <v>134</v>
      </c>
      <c r="D1312" s="12" t="s">
        <v>168</v>
      </c>
      <c r="G1312" s="13" t="s">
        <v>193</v>
      </c>
      <c r="H1312" s="14" t="s">
        <v>168</v>
      </c>
      <c r="I1312" s="14" t="s">
        <v>194</v>
      </c>
      <c r="K1312" s="15" t="s">
        <v>195</v>
      </c>
      <c r="O1312" s="11" t="s">
        <v>3263</v>
      </c>
    </row>
    <row r="1313" spans="1:15" hidden="1" x14ac:dyDescent="0.25">
      <c r="A1313" s="11" t="s">
        <v>2</v>
      </c>
      <c r="D1313" s="12" t="s">
        <v>284</v>
      </c>
      <c r="G1313" s="13" t="s">
        <v>285</v>
      </c>
      <c r="H1313" s="14" t="s">
        <v>283</v>
      </c>
      <c r="I1313" s="14" t="s">
        <v>286</v>
      </c>
      <c r="K1313" s="15" t="s">
        <v>287</v>
      </c>
      <c r="O1313" s="11" t="s">
        <v>172</v>
      </c>
    </row>
    <row r="1314" spans="1:15" hidden="1" x14ac:dyDescent="0.25">
      <c r="A1314" s="11" t="s">
        <v>2</v>
      </c>
      <c r="D1314" s="12" t="s">
        <v>288</v>
      </c>
      <c r="G1314" s="13" t="s">
        <v>289</v>
      </c>
      <c r="H1314" s="14" t="s">
        <v>283</v>
      </c>
      <c r="I1314" s="14" t="s">
        <v>290</v>
      </c>
      <c r="K1314" s="15" t="s">
        <v>291</v>
      </c>
      <c r="O1314" s="11" t="s">
        <v>172</v>
      </c>
    </row>
    <row r="1315" spans="1:15" hidden="1" x14ac:dyDescent="0.25">
      <c r="A1315" s="11" t="s">
        <v>134</v>
      </c>
      <c r="D1315" s="12" t="s">
        <v>168</v>
      </c>
      <c r="G1315" s="13" t="s">
        <v>169</v>
      </c>
      <c r="H1315" s="14" t="s">
        <v>168</v>
      </c>
      <c r="I1315" s="14" t="s">
        <v>170</v>
      </c>
      <c r="K1315" s="15" t="s">
        <v>171</v>
      </c>
      <c r="O1315" s="11" t="s">
        <v>3263</v>
      </c>
    </row>
    <row r="1316" spans="1:15" hidden="1" x14ac:dyDescent="0.25">
      <c r="A1316" s="11" t="s">
        <v>2</v>
      </c>
      <c r="D1316" s="12" t="s">
        <v>292</v>
      </c>
      <c r="G1316" s="13" t="s">
        <v>293</v>
      </c>
      <c r="H1316" s="14" t="s">
        <v>283</v>
      </c>
      <c r="I1316" s="14" t="s">
        <v>294</v>
      </c>
      <c r="K1316" s="15" t="s">
        <v>295</v>
      </c>
      <c r="O1316" s="11" t="s">
        <v>172</v>
      </c>
    </row>
    <row r="1317" spans="1:15" hidden="1" x14ac:dyDescent="0.25">
      <c r="A1317" s="11" t="s">
        <v>2</v>
      </c>
      <c r="D1317" s="12" t="s">
        <v>296</v>
      </c>
      <c r="G1317" s="13" t="s">
        <v>297</v>
      </c>
      <c r="H1317" s="14" t="s">
        <v>283</v>
      </c>
      <c r="I1317" s="14" t="s">
        <v>298</v>
      </c>
      <c r="K1317" s="15" t="s">
        <v>299</v>
      </c>
      <c r="O1317" s="11" t="s">
        <v>172</v>
      </c>
    </row>
    <row r="1318" spans="1:15" hidden="1" x14ac:dyDescent="0.25">
      <c r="A1318" s="11" t="s">
        <v>2</v>
      </c>
      <c r="D1318" s="12" t="s">
        <v>300</v>
      </c>
      <c r="G1318" s="13" t="s">
        <v>301</v>
      </c>
      <c r="H1318" s="14" t="s">
        <v>283</v>
      </c>
      <c r="I1318" s="14" t="s">
        <v>302</v>
      </c>
      <c r="K1318" s="15" t="s">
        <v>303</v>
      </c>
      <c r="O1318" s="11" t="s">
        <v>172</v>
      </c>
    </row>
    <row r="1319" spans="1:15" hidden="1" x14ac:dyDescent="0.25">
      <c r="A1319" s="11" t="s">
        <v>2</v>
      </c>
      <c r="D1319" s="12" t="s">
        <v>275</v>
      </c>
      <c r="G1319" s="13" t="s">
        <v>304</v>
      </c>
      <c r="H1319" s="14" t="s">
        <v>277</v>
      </c>
      <c r="I1319" s="14" t="s">
        <v>305</v>
      </c>
      <c r="K1319" s="15" t="s">
        <v>306</v>
      </c>
      <c r="O1319" s="11" t="s">
        <v>172</v>
      </c>
    </row>
    <row r="1320" spans="1:15" hidden="1" x14ac:dyDescent="0.25">
      <c r="A1320" s="11" t="s">
        <v>2</v>
      </c>
      <c r="D1320" s="12" t="s">
        <v>275</v>
      </c>
      <c r="G1320" s="13" t="s">
        <v>307</v>
      </c>
      <c r="H1320" s="14" t="s">
        <v>277</v>
      </c>
      <c r="I1320" s="14" t="s">
        <v>308</v>
      </c>
      <c r="K1320" s="15" t="s">
        <v>309</v>
      </c>
      <c r="O1320" s="11" t="s">
        <v>172</v>
      </c>
    </row>
    <row r="1321" spans="1:15" hidden="1" x14ac:dyDescent="0.25">
      <c r="A1321" s="11" t="s">
        <v>2</v>
      </c>
      <c r="D1321" s="12" t="s">
        <v>310</v>
      </c>
      <c r="G1321" s="13" t="s">
        <v>311</v>
      </c>
      <c r="H1321" s="14" t="s">
        <v>283</v>
      </c>
      <c r="I1321" s="14" t="s">
        <v>312</v>
      </c>
      <c r="K1321" s="15" t="s">
        <v>313</v>
      </c>
      <c r="O1321" s="11" t="s">
        <v>172</v>
      </c>
    </row>
    <row r="1322" spans="1:15" hidden="1" x14ac:dyDescent="0.25">
      <c r="A1322" s="11" t="s">
        <v>2</v>
      </c>
      <c r="D1322" s="12" t="s">
        <v>314</v>
      </c>
      <c r="G1322" s="13" t="s">
        <v>315</v>
      </c>
      <c r="H1322" s="14" t="s">
        <v>283</v>
      </c>
      <c r="I1322" s="14" t="s">
        <v>316</v>
      </c>
      <c r="K1322" s="15" t="s">
        <v>317</v>
      </c>
      <c r="O1322" s="11" t="s">
        <v>172</v>
      </c>
    </row>
    <row r="1323" spans="1:15" hidden="1" x14ac:dyDescent="0.25">
      <c r="A1323" s="11" t="s">
        <v>2</v>
      </c>
      <c r="D1323" s="12" t="s">
        <v>318</v>
      </c>
      <c r="G1323" s="13" t="s">
        <v>319</v>
      </c>
      <c r="H1323" s="14" t="s">
        <v>283</v>
      </c>
      <c r="I1323" s="14" t="s">
        <v>320</v>
      </c>
      <c r="K1323" s="15" t="s">
        <v>321</v>
      </c>
      <c r="O1323" s="11" t="s">
        <v>172</v>
      </c>
    </row>
    <row r="1324" spans="1:15" hidden="1" x14ac:dyDescent="0.25">
      <c r="A1324" s="11" t="s">
        <v>2</v>
      </c>
      <c r="D1324" s="12" t="s">
        <v>322</v>
      </c>
      <c r="G1324" s="13" t="s">
        <v>323</v>
      </c>
      <c r="H1324" s="14" t="s">
        <v>283</v>
      </c>
      <c r="I1324" s="14" t="s">
        <v>324</v>
      </c>
      <c r="K1324" s="15" t="s">
        <v>325</v>
      </c>
      <c r="O1324" s="11" t="s">
        <v>172</v>
      </c>
    </row>
    <row r="1325" spans="1:15" hidden="1" x14ac:dyDescent="0.25">
      <c r="A1325" s="11" t="s">
        <v>2</v>
      </c>
      <c r="D1325" s="12" t="s">
        <v>326</v>
      </c>
      <c r="G1325" s="13" t="s">
        <v>327</v>
      </c>
      <c r="H1325" s="14" t="s">
        <v>283</v>
      </c>
      <c r="I1325" s="14" t="s">
        <v>328</v>
      </c>
      <c r="K1325" s="15" t="s">
        <v>329</v>
      </c>
      <c r="O1325" s="11" t="s">
        <v>172</v>
      </c>
    </row>
    <row r="1326" spans="1:15" hidden="1" x14ac:dyDescent="0.25">
      <c r="A1326" s="11" t="s">
        <v>2</v>
      </c>
      <c r="D1326" s="12" t="s">
        <v>330</v>
      </c>
      <c r="G1326" s="13" t="s">
        <v>331</v>
      </c>
      <c r="H1326" s="14" t="s">
        <v>283</v>
      </c>
      <c r="I1326" s="14" t="s">
        <v>332</v>
      </c>
      <c r="K1326" s="15" t="s">
        <v>333</v>
      </c>
      <c r="O1326" s="11" t="s">
        <v>172</v>
      </c>
    </row>
    <row r="1327" spans="1:15" hidden="1" x14ac:dyDescent="0.25">
      <c r="A1327" s="11" t="s">
        <v>2</v>
      </c>
      <c r="D1327" s="12" t="s">
        <v>296</v>
      </c>
      <c r="G1327" s="13" t="s">
        <v>334</v>
      </c>
      <c r="H1327" s="14" t="s">
        <v>283</v>
      </c>
      <c r="I1327" s="14" t="s">
        <v>335</v>
      </c>
      <c r="K1327" s="15" t="s">
        <v>336</v>
      </c>
      <c r="O1327" s="11" t="s">
        <v>172</v>
      </c>
    </row>
    <row r="1328" spans="1:15" hidden="1" x14ac:dyDescent="0.25">
      <c r="A1328" s="11" t="s">
        <v>2</v>
      </c>
      <c r="D1328" s="12" t="s">
        <v>337</v>
      </c>
      <c r="G1328" s="13" t="s">
        <v>338</v>
      </c>
      <c r="H1328" s="14" t="s">
        <v>283</v>
      </c>
      <c r="I1328" s="14" t="s">
        <v>339</v>
      </c>
      <c r="K1328" s="15" t="s">
        <v>340</v>
      </c>
      <c r="O1328" s="11" t="s">
        <v>172</v>
      </c>
    </row>
    <row r="1329" spans="1:15" hidden="1" x14ac:dyDescent="0.25">
      <c r="A1329" s="11" t="s">
        <v>2</v>
      </c>
      <c r="D1329" s="12" t="s">
        <v>275</v>
      </c>
      <c r="G1329" s="13" t="s">
        <v>341</v>
      </c>
      <c r="H1329" s="14" t="s">
        <v>277</v>
      </c>
      <c r="I1329" s="14" t="s">
        <v>342</v>
      </c>
      <c r="K1329" s="15" t="s">
        <v>343</v>
      </c>
      <c r="O1329" s="11" t="s">
        <v>172</v>
      </c>
    </row>
    <row r="1330" spans="1:15" hidden="1" x14ac:dyDescent="0.25">
      <c r="A1330" s="11" t="s">
        <v>2</v>
      </c>
      <c r="H1330" s="14" t="s">
        <v>110</v>
      </c>
      <c r="I1330" s="14" t="s">
        <v>110</v>
      </c>
      <c r="K1330" s="15" t="s">
        <v>344</v>
      </c>
    </row>
    <row r="1331" spans="1:15" hidden="1" x14ac:dyDescent="0.25">
      <c r="A1331" s="11" t="s">
        <v>2</v>
      </c>
      <c r="D1331" s="12" t="s">
        <v>310</v>
      </c>
      <c r="G1331" s="13" t="s">
        <v>345</v>
      </c>
      <c r="H1331" s="14" t="s">
        <v>283</v>
      </c>
      <c r="I1331" s="14" t="s">
        <v>346</v>
      </c>
      <c r="K1331" s="15" t="s">
        <v>347</v>
      </c>
      <c r="O1331" s="11" t="s">
        <v>172</v>
      </c>
    </row>
    <row r="1332" spans="1:15" hidden="1" x14ac:dyDescent="0.25">
      <c r="A1332" s="11" t="s">
        <v>134</v>
      </c>
      <c r="D1332" s="12" t="s">
        <v>168</v>
      </c>
      <c r="G1332" s="13" t="s">
        <v>169</v>
      </c>
      <c r="H1332" s="14" t="s">
        <v>168</v>
      </c>
      <c r="I1332" s="14" t="s">
        <v>170</v>
      </c>
      <c r="K1332" s="15" t="s">
        <v>171</v>
      </c>
      <c r="O1332" s="11" t="s">
        <v>3263</v>
      </c>
    </row>
    <row r="1333" spans="1:15" hidden="1" x14ac:dyDescent="0.25">
      <c r="A1333" s="11" t="s">
        <v>2</v>
      </c>
      <c r="D1333" s="12" t="s">
        <v>348</v>
      </c>
      <c r="G1333" s="13" t="s">
        <v>349</v>
      </c>
      <c r="H1333" s="14" t="s">
        <v>283</v>
      </c>
      <c r="I1333" s="14" t="s">
        <v>350</v>
      </c>
      <c r="K1333" s="15" t="s">
        <v>351</v>
      </c>
      <c r="O1333" s="11" t="s">
        <v>172</v>
      </c>
    </row>
    <row r="1334" spans="1:15" hidden="1" x14ac:dyDescent="0.25">
      <c r="A1334" s="11" t="s">
        <v>2</v>
      </c>
      <c r="D1334" s="12" t="s">
        <v>352</v>
      </c>
      <c r="G1334" s="13" t="s">
        <v>353</v>
      </c>
      <c r="H1334" s="14" t="s">
        <v>283</v>
      </c>
      <c r="I1334" s="14" t="s">
        <v>354</v>
      </c>
      <c r="K1334" s="15" t="s">
        <v>355</v>
      </c>
      <c r="O1334" s="11" t="s">
        <v>172</v>
      </c>
    </row>
    <row r="1335" spans="1:15" hidden="1" x14ac:dyDescent="0.25">
      <c r="A1335" s="11" t="s">
        <v>2</v>
      </c>
      <c r="D1335" s="12" t="s">
        <v>356</v>
      </c>
      <c r="G1335" s="13" t="s">
        <v>357</v>
      </c>
      <c r="H1335" s="14" t="s">
        <v>358</v>
      </c>
      <c r="I1335" s="14" t="s">
        <v>359</v>
      </c>
      <c r="K1335" s="15" t="s">
        <v>360</v>
      </c>
      <c r="O1335" s="11" t="s">
        <v>172</v>
      </c>
    </row>
    <row r="1336" spans="1:15" hidden="1" x14ac:dyDescent="0.25">
      <c r="A1336" s="11" t="s">
        <v>2</v>
      </c>
      <c r="D1336" s="12" t="s">
        <v>361</v>
      </c>
      <c r="G1336" s="13" t="s">
        <v>362</v>
      </c>
      <c r="H1336" s="14" t="s">
        <v>283</v>
      </c>
      <c r="I1336" s="14" t="s">
        <v>363</v>
      </c>
      <c r="K1336" s="15" t="s">
        <v>364</v>
      </c>
      <c r="O1336" s="11" t="s">
        <v>172</v>
      </c>
    </row>
    <row r="1337" spans="1:15" hidden="1" x14ac:dyDescent="0.25">
      <c r="A1337" s="11" t="s">
        <v>2</v>
      </c>
      <c r="D1337" s="12" t="s">
        <v>365</v>
      </c>
      <c r="G1337" s="13" t="s">
        <v>366</v>
      </c>
      <c r="H1337" s="14" t="s">
        <v>283</v>
      </c>
      <c r="I1337" s="14" t="s">
        <v>367</v>
      </c>
      <c r="K1337" s="15" t="s">
        <v>368</v>
      </c>
      <c r="O1337" s="11" t="s">
        <v>172</v>
      </c>
    </row>
    <row r="1338" spans="1:15" hidden="1" x14ac:dyDescent="0.25">
      <c r="A1338" s="11" t="s">
        <v>2</v>
      </c>
      <c r="D1338" s="12" t="s">
        <v>369</v>
      </c>
      <c r="G1338" s="13" t="s">
        <v>370</v>
      </c>
      <c r="H1338" s="14" t="s">
        <v>283</v>
      </c>
      <c r="I1338" s="14" t="s">
        <v>371</v>
      </c>
      <c r="K1338" s="15" t="s">
        <v>372</v>
      </c>
      <c r="O1338" s="11" t="s">
        <v>172</v>
      </c>
    </row>
    <row r="1339" spans="1:15" hidden="1" x14ac:dyDescent="0.25">
      <c r="A1339" s="11" t="s">
        <v>2</v>
      </c>
      <c r="D1339" s="12" t="s">
        <v>275</v>
      </c>
      <c r="G1339" s="13" t="s">
        <v>373</v>
      </c>
      <c r="H1339" s="14" t="s">
        <v>277</v>
      </c>
      <c r="I1339" s="14" t="s">
        <v>374</v>
      </c>
      <c r="K1339" s="15" t="s">
        <v>375</v>
      </c>
      <c r="O1339" s="11" t="s">
        <v>172</v>
      </c>
    </row>
    <row r="1340" spans="1:15" hidden="1" x14ac:dyDescent="0.25">
      <c r="A1340" s="11" t="s">
        <v>2</v>
      </c>
      <c r="H1340" s="14" t="s">
        <v>110</v>
      </c>
      <c r="I1340" s="14" t="s">
        <v>110</v>
      </c>
      <c r="K1340" s="15" t="s">
        <v>376</v>
      </c>
    </row>
    <row r="1341" spans="1:15" hidden="1" x14ac:dyDescent="0.25">
      <c r="A1341" s="11" t="s">
        <v>134</v>
      </c>
      <c r="D1341" s="12" t="s">
        <v>168</v>
      </c>
      <c r="G1341" s="13" t="s">
        <v>169</v>
      </c>
      <c r="H1341" s="14" t="s">
        <v>168</v>
      </c>
      <c r="I1341" s="14" t="s">
        <v>170</v>
      </c>
      <c r="K1341" s="15" t="s">
        <v>171</v>
      </c>
      <c r="O1341" s="11" t="s">
        <v>3263</v>
      </c>
    </row>
    <row r="1342" spans="1:15" hidden="1" x14ac:dyDescent="0.25">
      <c r="A1342" s="11" t="s">
        <v>2</v>
      </c>
      <c r="D1342" s="12" t="s">
        <v>377</v>
      </c>
      <c r="G1342" s="13" t="s">
        <v>378</v>
      </c>
      <c r="H1342" s="14" t="s">
        <v>283</v>
      </c>
      <c r="I1342" s="14" t="s">
        <v>379</v>
      </c>
      <c r="K1342" s="15" t="s">
        <v>380</v>
      </c>
      <c r="O1342" s="11" t="s">
        <v>172</v>
      </c>
    </row>
    <row r="1343" spans="1:15" hidden="1" x14ac:dyDescent="0.25">
      <c r="A1343" s="11" t="s">
        <v>2</v>
      </c>
      <c r="D1343" s="12" t="s">
        <v>348</v>
      </c>
      <c r="G1343" s="13" t="s">
        <v>381</v>
      </c>
      <c r="H1343" s="14" t="s">
        <v>283</v>
      </c>
      <c r="I1343" s="14" t="s">
        <v>382</v>
      </c>
      <c r="K1343" s="15" t="s">
        <v>383</v>
      </c>
      <c r="O1343" s="11" t="s">
        <v>172</v>
      </c>
    </row>
    <row r="1344" spans="1:15" hidden="1" x14ac:dyDescent="0.25">
      <c r="A1344" s="11" t="s">
        <v>2</v>
      </c>
      <c r="D1344" s="12" t="s">
        <v>384</v>
      </c>
      <c r="G1344" s="13" t="s">
        <v>385</v>
      </c>
      <c r="H1344" s="14" t="s">
        <v>283</v>
      </c>
      <c r="I1344" s="14" t="s">
        <v>386</v>
      </c>
      <c r="K1344" s="15" t="s">
        <v>387</v>
      </c>
      <c r="O1344" s="11" t="s">
        <v>172</v>
      </c>
    </row>
    <row r="1345" spans="1:15" hidden="1" x14ac:dyDescent="0.25">
      <c r="A1345" s="11" t="s">
        <v>2</v>
      </c>
      <c r="D1345" s="12" t="s">
        <v>388</v>
      </c>
      <c r="G1345" s="13" t="s">
        <v>389</v>
      </c>
      <c r="H1345" s="14" t="s">
        <v>283</v>
      </c>
      <c r="I1345" s="14" t="s">
        <v>390</v>
      </c>
      <c r="K1345" s="15" t="s">
        <v>391</v>
      </c>
      <c r="O1345" s="11" t="s">
        <v>172</v>
      </c>
    </row>
    <row r="1346" spans="1:15" hidden="1" x14ac:dyDescent="0.25">
      <c r="A1346" s="11" t="s">
        <v>134</v>
      </c>
      <c r="D1346" s="12" t="s">
        <v>168</v>
      </c>
      <c r="G1346" s="13" t="s">
        <v>169</v>
      </c>
      <c r="H1346" s="14" t="s">
        <v>168</v>
      </c>
      <c r="I1346" s="14" t="s">
        <v>170</v>
      </c>
      <c r="K1346" s="15" t="s">
        <v>171</v>
      </c>
      <c r="O1346" s="11" t="s">
        <v>3263</v>
      </c>
    </row>
    <row r="1347" spans="1:15" hidden="1" x14ac:dyDescent="0.25">
      <c r="A1347" s="11" t="s">
        <v>2</v>
      </c>
      <c r="D1347" s="12" t="s">
        <v>392</v>
      </c>
      <c r="G1347" s="13" t="s">
        <v>393</v>
      </c>
      <c r="H1347" s="14" t="s">
        <v>283</v>
      </c>
      <c r="I1347" s="14" t="s">
        <v>394</v>
      </c>
      <c r="K1347" s="15" t="s">
        <v>395</v>
      </c>
      <c r="O1347" s="11" t="s">
        <v>172</v>
      </c>
    </row>
    <row r="1348" spans="1:15" hidden="1" x14ac:dyDescent="0.25">
      <c r="A1348" s="11" t="s">
        <v>2</v>
      </c>
      <c r="D1348" s="12" t="s">
        <v>396</v>
      </c>
      <c r="G1348" s="13" t="s">
        <v>397</v>
      </c>
      <c r="H1348" s="14" t="s">
        <v>283</v>
      </c>
      <c r="I1348" s="14" t="s">
        <v>398</v>
      </c>
      <c r="K1348" s="15" t="s">
        <v>399</v>
      </c>
      <c r="O1348" s="11" t="s">
        <v>172</v>
      </c>
    </row>
    <row r="1349" spans="1:15" hidden="1" x14ac:dyDescent="0.25">
      <c r="A1349" s="11" t="s">
        <v>2</v>
      </c>
      <c r="D1349" s="12" t="s">
        <v>275</v>
      </c>
      <c r="G1349" s="13" t="s">
        <v>400</v>
      </c>
      <c r="H1349" s="14" t="s">
        <v>277</v>
      </c>
      <c r="I1349" s="14" t="s">
        <v>401</v>
      </c>
      <c r="K1349" s="15" t="s">
        <v>402</v>
      </c>
      <c r="O1349" s="11" t="s">
        <v>172</v>
      </c>
    </row>
    <row r="1350" spans="1:15" hidden="1" x14ac:dyDescent="0.25">
      <c r="A1350" s="11" t="s">
        <v>2</v>
      </c>
      <c r="D1350" s="12" t="s">
        <v>403</v>
      </c>
      <c r="G1350" s="13" t="s">
        <v>404</v>
      </c>
      <c r="H1350" s="14" t="s">
        <v>283</v>
      </c>
      <c r="I1350" s="14" t="s">
        <v>405</v>
      </c>
      <c r="K1350" s="15" t="s">
        <v>406</v>
      </c>
      <c r="O1350" s="11" t="s">
        <v>172</v>
      </c>
    </row>
    <row r="1351" spans="1:15" hidden="1" x14ac:dyDescent="0.25">
      <c r="A1351" s="11" t="s">
        <v>2</v>
      </c>
      <c r="D1351" s="12" t="s">
        <v>407</v>
      </c>
      <c r="G1351" s="13" t="s">
        <v>408</v>
      </c>
      <c r="H1351" s="14" t="s">
        <v>283</v>
      </c>
      <c r="I1351" s="14" t="s">
        <v>409</v>
      </c>
      <c r="K1351" s="15" t="s">
        <v>410</v>
      </c>
      <c r="O1351" s="11" t="s">
        <v>172</v>
      </c>
    </row>
    <row r="1352" spans="1:15" hidden="1" x14ac:dyDescent="0.25">
      <c r="A1352" s="11" t="s">
        <v>2</v>
      </c>
      <c r="D1352" s="12" t="s">
        <v>411</v>
      </c>
      <c r="G1352" s="13" t="s">
        <v>412</v>
      </c>
      <c r="H1352" s="14" t="s">
        <v>283</v>
      </c>
      <c r="I1352" s="14" t="s">
        <v>413</v>
      </c>
      <c r="K1352" s="15" t="s">
        <v>414</v>
      </c>
      <c r="O1352" s="11" t="s">
        <v>172</v>
      </c>
    </row>
    <row r="1353" spans="1:15" hidden="1" x14ac:dyDescent="0.25">
      <c r="A1353" s="11" t="s">
        <v>2</v>
      </c>
      <c r="D1353" s="12" t="s">
        <v>415</v>
      </c>
      <c r="G1353" s="13" t="s">
        <v>416</v>
      </c>
      <c r="H1353" s="14" t="s">
        <v>283</v>
      </c>
      <c r="I1353" s="14" t="s">
        <v>417</v>
      </c>
      <c r="K1353" s="15" t="s">
        <v>418</v>
      </c>
      <c r="O1353" s="11" t="s">
        <v>172</v>
      </c>
    </row>
    <row r="1354" spans="1:15" hidden="1" x14ac:dyDescent="0.25">
      <c r="A1354" s="11" t="s">
        <v>2</v>
      </c>
      <c r="D1354" s="12" t="s">
        <v>419</v>
      </c>
      <c r="G1354" s="13" t="s">
        <v>420</v>
      </c>
      <c r="H1354" s="14" t="s">
        <v>283</v>
      </c>
      <c r="I1354" s="14" t="s">
        <v>421</v>
      </c>
      <c r="K1354" s="15" t="s">
        <v>422</v>
      </c>
      <c r="O1354" s="11" t="s">
        <v>172</v>
      </c>
    </row>
    <row r="1355" spans="1:15" hidden="1" x14ac:dyDescent="0.25">
      <c r="A1355" s="11" t="s">
        <v>2</v>
      </c>
      <c r="D1355" s="12" t="s">
        <v>423</v>
      </c>
      <c r="G1355" s="13" t="s">
        <v>424</v>
      </c>
      <c r="H1355" s="14" t="s">
        <v>283</v>
      </c>
      <c r="I1355" s="14" t="s">
        <v>425</v>
      </c>
      <c r="K1355" s="15" t="s">
        <v>426</v>
      </c>
      <c r="O1355" s="11" t="s">
        <v>172</v>
      </c>
    </row>
    <row r="1356" spans="1:15" hidden="1" x14ac:dyDescent="0.25">
      <c r="A1356" s="11" t="s">
        <v>2</v>
      </c>
      <c r="D1356" s="12" t="s">
        <v>427</v>
      </c>
      <c r="G1356" s="13" t="s">
        <v>428</v>
      </c>
      <c r="H1356" s="14" t="s">
        <v>283</v>
      </c>
      <c r="I1356" s="14" t="s">
        <v>429</v>
      </c>
      <c r="K1356" s="15" t="s">
        <v>430</v>
      </c>
      <c r="O1356" s="11" t="s">
        <v>172</v>
      </c>
    </row>
    <row r="1357" spans="1:15" hidden="1" x14ac:dyDescent="0.25">
      <c r="A1357" s="11" t="s">
        <v>2</v>
      </c>
      <c r="D1357" s="12" t="s">
        <v>431</v>
      </c>
      <c r="G1357" s="13" t="s">
        <v>432</v>
      </c>
      <c r="H1357" s="14" t="s">
        <v>283</v>
      </c>
      <c r="I1357" s="14" t="s">
        <v>433</v>
      </c>
      <c r="K1357" s="15" t="s">
        <v>434</v>
      </c>
      <c r="O1357" s="11" t="s">
        <v>172</v>
      </c>
    </row>
    <row r="1358" spans="1:15" hidden="1" x14ac:dyDescent="0.25">
      <c r="A1358" s="11" t="s">
        <v>2</v>
      </c>
      <c r="D1358" s="12" t="s">
        <v>435</v>
      </c>
      <c r="G1358" s="13" t="s">
        <v>436</v>
      </c>
      <c r="H1358" s="14" t="s">
        <v>283</v>
      </c>
      <c r="I1358" s="14" t="s">
        <v>437</v>
      </c>
      <c r="K1358" s="15" t="s">
        <v>438</v>
      </c>
      <c r="O1358" s="11" t="s">
        <v>172</v>
      </c>
    </row>
    <row r="1359" spans="1:15" hidden="1" x14ac:dyDescent="0.25">
      <c r="A1359" s="11" t="s">
        <v>2</v>
      </c>
      <c r="D1359" s="12" t="s">
        <v>275</v>
      </c>
      <c r="G1359" s="13" t="s">
        <v>439</v>
      </c>
      <c r="H1359" s="14" t="s">
        <v>277</v>
      </c>
      <c r="I1359" s="14" t="s">
        <v>440</v>
      </c>
      <c r="K1359" s="15" t="s">
        <v>441</v>
      </c>
      <c r="O1359" s="11" t="s">
        <v>172</v>
      </c>
    </row>
    <row r="1360" spans="1:15" hidden="1" x14ac:dyDescent="0.25">
      <c r="A1360" s="11" t="s">
        <v>2</v>
      </c>
      <c r="D1360" s="12" t="s">
        <v>442</v>
      </c>
      <c r="G1360" s="13" t="s">
        <v>443</v>
      </c>
      <c r="H1360" s="14" t="s">
        <v>283</v>
      </c>
      <c r="I1360" s="14" t="s">
        <v>444</v>
      </c>
      <c r="K1360" s="15" t="s">
        <v>445</v>
      </c>
      <c r="O1360" s="11" t="s">
        <v>172</v>
      </c>
    </row>
    <row r="1361" spans="1:15" hidden="1" x14ac:dyDescent="0.25">
      <c r="A1361" s="11" t="s">
        <v>2</v>
      </c>
      <c r="D1361" s="12" t="s">
        <v>446</v>
      </c>
      <c r="G1361" s="13" t="s">
        <v>447</v>
      </c>
      <c r="H1361" s="14" t="s">
        <v>283</v>
      </c>
      <c r="I1361" s="14" t="s">
        <v>448</v>
      </c>
      <c r="K1361" s="15" t="s">
        <v>449</v>
      </c>
      <c r="O1361" s="11" t="s">
        <v>172</v>
      </c>
    </row>
    <row r="1362" spans="1:15" hidden="1" x14ac:dyDescent="0.25">
      <c r="A1362" s="11" t="s">
        <v>2</v>
      </c>
      <c r="D1362" s="12" t="s">
        <v>450</v>
      </c>
      <c r="G1362" s="13" t="s">
        <v>451</v>
      </c>
      <c r="H1362" s="14" t="s">
        <v>283</v>
      </c>
      <c r="I1362" s="14" t="s">
        <v>452</v>
      </c>
      <c r="K1362" s="15" t="s">
        <v>453</v>
      </c>
      <c r="O1362" s="11" t="s">
        <v>172</v>
      </c>
    </row>
    <row r="1363" spans="1:15" hidden="1" x14ac:dyDescent="0.25">
      <c r="A1363" s="11" t="s">
        <v>2</v>
      </c>
      <c r="D1363" s="12" t="s">
        <v>454</v>
      </c>
      <c r="G1363" s="13" t="s">
        <v>455</v>
      </c>
      <c r="H1363" s="14" t="s">
        <v>283</v>
      </c>
      <c r="I1363" s="14" t="s">
        <v>456</v>
      </c>
      <c r="K1363" s="15" t="s">
        <v>457</v>
      </c>
      <c r="O1363" s="11" t="s">
        <v>172</v>
      </c>
    </row>
    <row r="1364" spans="1:15" hidden="1" x14ac:dyDescent="0.25">
      <c r="A1364" s="11" t="s">
        <v>2</v>
      </c>
      <c r="D1364" s="12" t="s">
        <v>458</v>
      </c>
      <c r="G1364" s="13" t="s">
        <v>459</v>
      </c>
      <c r="H1364" s="14" t="s">
        <v>283</v>
      </c>
      <c r="I1364" s="14" t="s">
        <v>460</v>
      </c>
      <c r="K1364" s="15" t="s">
        <v>461</v>
      </c>
      <c r="O1364" s="11" t="s">
        <v>172</v>
      </c>
    </row>
    <row r="1365" spans="1:15" hidden="1" x14ac:dyDescent="0.25">
      <c r="A1365" s="11" t="s">
        <v>2</v>
      </c>
      <c r="D1365" s="12" t="s">
        <v>462</v>
      </c>
      <c r="G1365" s="13" t="s">
        <v>463</v>
      </c>
      <c r="H1365" s="14" t="s">
        <v>283</v>
      </c>
      <c r="I1365" s="14" t="s">
        <v>464</v>
      </c>
      <c r="K1365" s="15" t="s">
        <v>465</v>
      </c>
      <c r="O1365" s="11" t="s">
        <v>172</v>
      </c>
    </row>
    <row r="1366" spans="1:15" hidden="1" x14ac:dyDescent="0.25">
      <c r="A1366" s="11" t="s">
        <v>2</v>
      </c>
      <c r="D1366" s="12" t="s">
        <v>466</v>
      </c>
      <c r="G1366" s="13" t="s">
        <v>467</v>
      </c>
      <c r="H1366" s="14" t="s">
        <v>283</v>
      </c>
      <c r="I1366" s="14" t="s">
        <v>468</v>
      </c>
      <c r="K1366" s="15" t="s">
        <v>469</v>
      </c>
      <c r="O1366" s="11" t="s">
        <v>172</v>
      </c>
    </row>
    <row r="1367" spans="1:15" hidden="1" x14ac:dyDescent="0.25">
      <c r="A1367" s="11" t="s">
        <v>2</v>
      </c>
      <c r="D1367" s="12" t="s">
        <v>470</v>
      </c>
      <c r="G1367" s="13" t="s">
        <v>471</v>
      </c>
      <c r="H1367" s="14" t="s">
        <v>283</v>
      </c>
      <c r="I1367" s="14" t="s">
        <v>472</v>
      </c>
      <c r="K1367" s="15" t="s">
        <v>473</v>
      </c>
      <c r="O1367" s="11" t="s">
        <v>172</v>
      </c>
    </row>
    <row r="1368" spans="1:15" hidden="1" x14ac:dyDescent="0.25">
      <c r="A1368" s="11" t="s">
        <v>2</v>
      </c>
      <c r="D1368" s="12" t="s">
        <v>474</v>
      </c>
      <c r="G1368" s="13" t="s">
        <v>475</v>
      </c>
      <c r="H1368" s="14" t="s">
        <v>283</v>
      </c>
      <c r="I1368" s="14" t="s">
        <v>476</v>
      </c>
      <c r="K1368" s="15" t="s">
        <v>477</v>
      </c>
      <c r="O1368" s="11" t="s">
        <v>172</v>
      </c>
    </row>
    <row r="1369" spans="1:15" hidden="1" x14ac:dyDescent="0.25">
      <c r="A1369" s="11" t="s">
        <v>2</v>
      </c>
      <c r="H1369" s="14" t="s">
        <v>110</v>
      </c>
      <c r="I1369" s="14" t="s">
        <v>110</v>
      </c>
      <c r="K1369" s="15" t="s">
        <v>478</v>
      </c>
    </row>
    <row r="1370" spans="1:15" hidden="1" x14ac:dyDescent="0.25">
      <c r="A1370" s="11" t="s">
        <v>2</v>
      </c>
      <c r="D1370" s="12" t="s">
        <v>479</v>
      </c>
      <c r="G1370" s="13" t="s">
        <v>480</v>
      </c>
      <c r="H1370" s="14" t="s">
        <v>283</v>
      </c>
      <c r="I1370" s="14" t="s">
        <v>481</v>
      </c>
      <c r="K1370" s="15" t="s">
        <v>482</v>
      </c>
      <c r="O1370" s="11" t="s">
        <v>172</v>
      </c>
    </row>
    <row r="1371" spans="1:15" hidden="1" x14ac:dyDescent="0.25">
      <c r="A1371" s="11" t="s">
        <v>2</v>
      </c>
      <c r="D1371" s="12" t="s">
        <v>483</v>
      </c>
      <c r="G1371" s="13" t="s">
        <v>484</v>
      </c>
      <c r="H1371" s="14" t="s">
        <v>283</v>
      </c>
      <c r="I1371" s="14" t="s">
        <v>485</v>
      </c>
      <c r="K1371" s="15" t="s">
        <v>486</v>
      </c>
      <c r="O1371" s="11" t="s">
        <v>172</v>
      </c>
    </row>
    <row r="1372" spans="1:15" hidden="1" x14ac:dyDescent="0.25">
      <c r="A1372" s="11" t="s">
        <v>2</v>
      </c>
      <c r="D1372" s="12" t="s">
        <v>487</v>
      </c>
      <c r="G1372" s="13" t="s">
        <v>488</v>
      </c>
      <c r="H1372" s="14" t="s">
        <v>283</v>
      </c>
      <c r="I1372" s="14" t="s">
        <v>489</v>
      </c>
      <c r="K1372" s="15" t="s">
        <v>490</v>
      </c>
      <c r="O1372" s="11" t="s">
        <v>172</v>
      </c>
    </row>
    <row r="1373" spans="1:15" hidden="1" x14ac:dyDescent="0.25">
      <c r="A1373" s="11" t="s">
        <v>2</v>
      </c>
      <c r="D1373" s="12" t="s">
        <v>491</v>
      </c>
      <c r="G1373" s="13" t="s">
        <v>492</v>
      </c>
      <c r="H1373" s="14" t="s">
        <v>283</v>
      </c>
      <c r="I1373" s="14" t="s">
        <v>493</v>
      </c>
      <c r="K1373" s="15" t="s">
        <v>494</v>
      </c>
      <c r="O1373" s="11" t="s">
        <v>172</v>
      </c>
    </row>
    <row r="1374" spans="1:15" hidden="1" x14ac:dyDescent="0.25">
      <c r="A1374" s="11" t="s">
        <v>2</v>
      </c>
      <c r="D1374" s="12" t="s">
        <v>275</v>
      </c>
      <c r="G1374" s="13" t="s">
        <v>495</v>
      </c>
      <c r="H1374" s="14" t="s">
        <v>277</v>
      </c>
      <c r="I1374" s="14" t="s">
        <v>496</v>
      </c>
      <c r="K1374" s="15" t="s">
        <v>497</v>
      </c>
      <c r="O1374" s="11" t="s">
        <v>172</v>
      </c>
    </row>
    <row r="1375" spans="1:15" hidden="1" x14ac:dyDescent="0.25">
      <c r="A1375" s="11" t="s">
        <v>2</v>
      </c>
      <c r="D1375" s="12" t="s">
        <v>498</v>
      </c>
      <c r="G1375" s="13" t="s">
        <v>499</v>
      </c>
      <c r="H1375" s="14" t="s">
        <v>283</v>
      </c>
      <c r="I1375" s="14" t="s">
        <v>500</v>
      </c>
      <c r="K1375" s="15" t="s">
        <v>501</v>
      </c>
      <c r="O1375" s="11" t="s">
        <v>172</v>
      </c>
    </row>
    <row r="1376" spans="1:15" hidden="1" x14ac:dyDescent="0.25">
      <c r="A1376" s="11" t="s">
        <v>2</v>
      </c>
      <c r="D1376" s="12" t="s">
        <v>502</v>
      </c>
      <c r="G1376" s="13" t="s">
        <v>503</v>
      </c>
      <c r="H1376" s="14" t="s">
        <v>283</v>
      </c>
      <c r="I1376" s="14" t="s">
        <v>504</v>
      </c>
      <c r="K1376" s="15" t="s">
        <v>505</v>
      </c>
      <c r="O1376" s="11" t="s">
        <v>172</v>
      </c>
    </row>
    <row r="1377" spans="1:15" hidden="1" x14ac:dyDescent="0.25">
      <c r="A1377" s="11" t="s">
        <v>2</v>
      </c>
      <c r="D1377" s="12" t="s">
        <v>506</v>
      </c>
      <c r="G1377" s="13" t="s">
        <v>507</v>
      </c>
      <c r="H1377" s="14" t="s">
        <v>283</v>
      </c>
      <c r="I1377" s="14" t="s">
        <v>508</v>
      </c>
      <c r="K1377" s="15" t="s">
        <v>509</v>
      </c>
      <c r="O1377" s="11" t="s">
        <v>172</v>
      </c>
    </row>
    <row r="1378" spans="1:15" hidden="1" x14ac:dyDescent="0.25">
      <c r="A1378" s="11" t="s">
        <v>2</v>
      </c>
      <c r="D1378" s="12" t="s">
        <v>510</v>
      </c>
      <c r="G1378" s="13" t="s">
        <v>511</v>
      </c>
      <c r="H1378" s="14" t="s">
        <v>283</v>
      </c>
      <c r="I1378" s="14" t="s">
        <v>512</v>
      </c>
      <c r="K1378" s="15" t="s">
        <v>513</v>
      </c>
      <c r="O1378" s="11" t="s">
        <v>172</v>
      </c>
    </row>
    <row r="1379" spans="1:15" hidden="1" x14ac:dyDescent="0.25">
      <c r="A1379" s="11" t="s">
        <v>2</v>
      </c>
      <c r="D1379" s="12" t="s">
        <v>514</v>
      </c>
      <c r="G1379" s="13" t="s">
        <v>515</v>
      </c>
      <c r="H1379" s="14" t="s">
        <v>283</v>
      </c>
      <c r="I1379" s="14" t="s">
        <v>516</v>
      </c>
      <c r="K1379" s="15" t="s">
        <v>517</v>
      </c>
      <c r="O1379" s="11" t="s">
        <v>172</v>
      </c>
    </row>
    <row r="1380" spans="1:15" hidden="1" x14ac:dyDescent="0.25">
      <c r="A1380" s="11" t="s">
        <v>2</v>
      </c>
      <c r="D1380" s="12" t="s">
        <v>518</v>
      </c>
      <c r="G1380" s="13" t="s">
        <v>519</v>
      </c>
      <c r="H1380" s="14" t="s">
        <v>283</v>
      </c>
      <c r="I1380" s="14" t="s">
        <v>520</v>
      </c>
      <c r="K1380" s="15" t="s">
        <v>521</v>
      </c>
      <c r="O1380" s="11" t="s">
        <v>172</v>
      </c>
    </row>
    <row r="1381" spans="1:15" hidden="1" x14ac:dyDescent="0.25">
      <c r="A1381" s="11" t="s">
        <v>2</v>
      </c>
      <c r="D1381" s="12" t="s">
        <v>296</v>
      </c>
      <c r="G1381" s="13" t="s">
        <v>522</v>
      </c>
      <c r="H1381" s="14" t="s">
        <v>283</v>
      </c>
      <c r="I1381" s="14" t="s">
        <v>523</v>
      </c>
      <c r="K1381" s="15" t="s">
        <v>524</v>
      </c>
      <c r="O1381" s="11" t="s">
        <v>172</v>
      </c>
    </row>
    <row r="1382" spans="1:15" hidden="1" x14ac:dyDescent="0.25">
      <c r="A1382" s="11" t="s">
        <v>2</v>
      </c>
      <c r="D1382" s="12" t="s">
        <v>525</v>
      </c>
      <c r="G1382" s="13" t="s">
        <v>526</v>
      </c>
      <c r="H1382" s="14" t="s">
        <v>283</v>
      </c>
      <c r="I1382" s="14" t="s">
        <v>527</v>
      </c>
      <c r="K1382" s="15" t="s">
        <v>528</v>
      </c>
      <c r="O1382" s="11" t="s">
        <v>172</v>
      </c>
    </row>
    <row r="1383" spans="1:15" hidden="1" x14ac:dyDescent="0.25">
      <c r="A1383" s="11" t="s">
        <v>2</v>
      </c>
      <c r="D1383" s="12" t="s">
        <v>529</v>
      </c>
      <c r="G1383" s="13" t="s">
        <v>530</v>
      </c>
      <c r="H1383" s="14" t="s">
        <v>283</v>
      </c>
      <c r="I1383" s="14" t="s">
        <v>531</v>
      </c>
      <c r="K1383" s="15" t="s">
        <v>532</v>
      </c>
      <c r="O1383" s="11" t="s">
        <v>172</v>
      </c>
    </row>
    <row r="1384" spans="1:15" hidden="1" x14ac:dyDescent="0.25">
      <c r="A1384" s="11" t="s">
        <v>2</v>
      </c>
      <c r="D1384" s="12" t="s">
        <v>533</v>
      </c>
      <c r="G1384" s="13" t="s">
        <v>534</v>
      </c>
      <c r="H1384" s="14" t="s">
        <v>283</v>
      </c>
      <c r="I1384" s="14" t="s">
        <v>535</v>
      </c>
      <c r="K1384" s="15" t="s">
        <v>536</v>
      </c>
      <c r="O1384" s="11" t="s">
        <v>172</v>
      </c>
    </row>
    <row r="1385" spans="1:15" hidden="1" x14ac:dyDescent="0.25">
      <c r="A1385" s="11" t="s">
        <v>2</v>
      </c>
      <c r="D1385" s="12" t="s">
        <v>537</v>
      </c>
      <c r="G1385" s="13" t="s">
        <v>538</v>
      </c>
      <c r="H1385" s="14" t="s">
        <v>283</v>
      </c>
      <c r="I1385" s="14" t="s">
        <v>539</v>
      </c>
      <c r="K1385" s="15" t="s">
        <v>540</v>
      </c>
      <c r="O1385" s="11" t="s">
        <v>172</v>
      </c>
    </row>
    <row r="1386" spans="1:15" hidden="1" x14ac:dyDescent="0.25">
      <c r="A1386" s="11" t="s">
        <v>2</v>
      </c>
      <c r="D1386" s="12" t="s">
        <v>296</v>
      </c>
      <c r="G1386" s="13" t="s">
        <v>541</v>
      </c>
      <c r="H1386" s="14" t="s">
        <v>283</v>
      </c>
      <c r="I1386" s="14" t="s">
        <v>542</v>
      </c>
      <c r="K1386" s="15" t="s">
        <v>543</v>
      </c>
      <c r="O1386" s="11" t="s">
        <v>172</v>
      </c>
    </row>
    <row r="1387" spans="1:15" hidden="1" x14ac:dyDescent="0.25">
      <c r="A1387" s="11" t="s">
        <v>2</v>
      </c>
      <c r="D1387" s="12" t="s">
        <v>300</v>
      </c>
      <c r="G1387" s="13" t="s">
        <v>544</v>
      </c>
      <c r="H1387" s="14" t="s">
        <v>283</v>
      </c>
      <c r="I1387" s="14" t="s">
        <v>545</v>
      </c>
      <c r="K1387" s="15" t="s">
        <v>546</v>
      </c>
      <c r="O1387" s="11" t="s">
        <v>172</v>
      </c>
    </row>
    <row r="1388" spans="1:15" hidden="1" x14ac:dyDescent="0.25">
      <c r="A1388" s="11" t="s">
        <v>2</v>
      </c>
      <c r="D1388" s="12" t="s">
        <v>547</v>
      </c>
      <c r="G1388" s="13" t="s">
        <v>548</v>
      </c>
      <c r="H1388" s="14" t="s">
        <v>283</v>
      </c>
      <c r="I1388" s="14" t="s">
        <v>549</v>
      </c>
      <c r="K1388" s="15" t="s">
        <v>550</v>
      </c>
      <c r="O1388" s="11" t="s">
        <v>172</v>
      </c>
    </row>
    <row r="1389" spans="1:15" hidden="1" x14ac:dyDescent="0.25">
      <c r="A1389" s="11" t="s">
        <v>2</v>
      </c>
      <c r="H1389" s="14" t="s">
        <v>110</v>
      </c>
      <c r="I1389" s="14" t="s">
        <v>110</v>
      </c>
      <c r="K1389" s="15" t="s">
        <v>1682</v>
      </c>
    </row>
    <row r="1390" spans="1:15" hidden="1" x14ac:dyDescent="0.25">
      <c r="A1390" s="11" t="s">
        <v>2</v>
      </c>
      <c r="H1390" s="14" t="s">
        <v>110</v>
      </c>
      <c r="I1390" s="14" t="s">
        <v>110</v>
      </c>
      <c r="K1390" s="15" t="s">
        <v>1683</v>
      </c>
    </row>
    <row r="1391" spans="1:15" hidden="1" x14ac:dyDescent="0.25">
      <c r="A1391" s="11" t="s">
        <v>2</v>
      </c>
      <c r="H1391" s="14" t="s">
        <v>110</v>
      </c>
      <c r="I1391" s="14" t="s">
        <v>110</v>
      </c>
      <c r="K1391" s="15" t="s">
        <v>1684</v>
      </c>
    </row>
    <row r="1392" spans="1:15" hidden="1" x14ac:dyDescent="0.25">
      <c r="A1392" s="11" t="s">
        <v>2</v>
      </c>
      <c r="H1392" s="14" t="s">
        <v>110</v>
      </c>
      <c r="I1392" s="14" t="s">
        <v>110</v>
      </c>
      <c r="K1392" s="15" t="s">
        <v>1685</v>
      </c>
    </row>
    <row r="1393" spans="1:11" hidden="1" x14ac:dyDescent="0.25">
      <c r="A1393" s="11" t="s">
        <v>2</v>
      </c>
      <c r="H1393" s="14" t="s">
        <v>110</v>
      </c>
      <c r="I1393" s="14" t="s">
        <v>110</v>
      </c>
      <c r="K1393" s="15" t="s">
        <v>1686</v>
      </c>
    </row>
    <row r="1394" spans="1:11" hidden="1" x14ac:dyDescent="0.25">
      <c r="A1394" s="11" t="s">
        <v>2</v>
      </c>
      <c r="H1394" s="14" t="s">
        <v>110</v>
      </c>
      <c r="I1394" s="14" t="s">
        <v>110</v>
      </c>
      <c r="K1394" s="15" t="s">
        <v>1687</v>
      </c>
    </row>
    <row r="1395" spans="1:11" hidden="1" x14ac:dyDescent="0.25">
      <c r="A1395" s="11" t="s">
        <v>2</v>
      </c>
      <c r="H1395" s="14" t="s">
        <v>110</v>
      </c>
      <c r="I1395" s="14" t="s">
        <v>110</v>
      </c>
      <c r="K1395" s="15" t="s">
        <v>1688</v>
      </c>
    </row>
    <row r="1396" spans="1:11" hidden="1" x14ac:dyDescent="0.25">
      <c r="A1396" s="11" t="s">
        <v>2</v>
      </c>
      <c r="H1396" s="14" t="s">
        <v>110</v>
      </c>
      <c r="I1396" s="14" t="s">
        <v>110</v>
      </c>
      <c r="K1396" s="15" t="s">
        <v>1689</v>
      </c>
    </row>
    <row r="1397" spans="1:11" hidden="1" x14ac:dyDescent="0.25">
      <c r="A1397" s="11" t="s">
        <v>2</v>
      </c>
      <c r="H1397" s="14" t="s">
        <v>110</v>
      </c>
      <c r="I1397" s="14" t="s">
        <v>110</v>
      </c>
      <c r="K1397" s="15" t="s">
        <v>1690</v>
      </c>
    </row>
    <row r="1398" spans="1:11" hidden="1" x14ac:dyDescent="0.25">
      <c r="A1398" s="11" t="s">
        <v>2</v>
      </c>
      <c r="H1398" s="14" t="s">
        <v>110</v>
      </c>
      <c r="I1398" s="14" t="s">
        <v>110</v>
      </c>
      <c r="K1398" s="15" t="s">
        <v>1691</v>
      </c>
    </row>
    <row r="1399" spans="1:11" hidden="1" x14ac:dyDescent="0.25">
      <c r="A1399" s="11" t="s">
        <v>2</v>
      </c>
      <c r="H1399" s="14" t="s">
        <v>110</v>
      </c>
      <c r="I1399" s="14" t="s">
        <v>110</v>
      </c>
      <c r="K1399" s="15" t="s">
        <v>1692</v>
      </c>
    </row>
    <row r="1400" spans="1:11" hidden="1" x14ac:dyDescent="0.25">
      <c r="A1400" s="11" t="s">
        <v>2</v>
      </c>
      <c r="H1400" s="14" t="s">
        <v>110</v>
      </c>
      <c r="I1400" s="14" t="s">
        <v>110</v>
      </c>
      <c r="K1400" s="15" t="s">
        <v>1693</v>
      </c>
    </row>
    <row r="1401" spans="1:11" hidden="1" x14ac:dyDescent="0.25">
      <c r="A1401" s="11" t="s">
        <v>2</v>
      </c>
      <c r="H1401" s="14" t="s">
        <v>110</v>
      </c>
      <c r="I1401" s="14" t="s">
        <v>110</v>
      </c>
      <c r="K1401" s="15" t="s">
        <v>1694</v>
      </c>
    </row>
    <row r="1402" spans="1:11" hidden="1" x14ac:dyDescent="0.25">
      <c r="A1402" s="11" t="s">
        <v>2</v>
      </c>
      <c r="H1402" s="14" t="s">
        <v>110</v>
      </c>
      <c r="I1402" s="14" t="s">
        <v>110</v>
      </c>
      <c r="K1402" s="15" t="s">
        <v>1695</v>
      </c>
    </row>
    <row r="1403" spans="1:11" hidden="1" x14ac:dyDescent="0.25">
      <c r="A1403" s="11" t="s">
        <v>2</v>
      </c>
      <c r="H1403" s="14" t="s">
        <v>110</v>
      </c>
      <c r="I1403" s="14" t="s">
        <v>110</v>
      </c>
      <c r="K1403" s="15" t="s">
        <v>2781</v>
      </c>
    </row>
    <row r="1404" spans="1:11" hidden="1" x14ac:dyDescent="0.25">
      <c r="A1404" s="11" t="s">
        <v>2</v>
      </c>
      <c r="H1404" s="14" t="s">
        <v>110</v>
      </c>
      <c r="I1404" s="14" t="s">
        <v>110</v>
      </c>
      <c r="K1404" s="15" t="s">
        <v>2782</v>
      </c>
    </row>
    <row r="1405" spans="1:11" hidden="1" x14ac:dyDescent="0.25">
      <c r="A1405" s="11" t="s">
        <v>2</v>
      </c>
      <c r="H1405" s="14" t="s">
        <v>110</v>
      </c>
      <c r="I1405" s="14" t="s">
        <v>110</v>
      </c>
      <c r="K1405" s="15" t="s">
        <v>2783</v>
      </c>
    </row>
    <row r="1406" spans="1:11" hidden="1" x14ac:dyDescent="0.25">
      <c r="A1406" s="11" t="s">
        <v>2</v>
      </c>
      <c r="H1406" s="14" t="s">
        <v>110</v>
      </c>
      <c r="I1406" s="14" t="s">
        <v>110</v>
      </c>
      <c r="K1406" s="15" t="s">
        <v>2784</v>
      </c>
    </row>
    <row r="1407" spans="1:11" hidden="1" x14ac:dyDescent="0.25">
      <c r="A1407" s="11" t="s">
        <v>2</v>
      </c>
      <c r="H1407" s="14" t="s">
        <v>110</v>
      </c>
      <c r="I1407" s="14" t="s">
        <v>110</v>
      </c>
      <c r="K1407" s="15" t="s">
        <v>2788</v>
      </c>
    </row>
    <row r="1408" spans="1:11" hidden="1" x14ac:dyDescent="0.25">
      <c r="A1408" s="11" t="s">
        <v>2</v>
      </c>
      <c r="H1408" s="14" t="s">
        <v>110</v>
      </c>
      <c r="I1408" s="14" t="s">
        <v>110</v>
      </c>
      <c r="K1408" s="15" t="s">
        <v>2789</v>
      </c>
    </row>
    <row r="1409" spans="1:11" hidden="1" x14ac:dyDescent="0.25">
      <c r="A1409" s="11" t="s">
        <v>2</v>
      </c>
      <c r="H1409" s="14" t="s">
        <v>110</v>
      </c>
      <c r="I1409" s="14" t="s">
        <v>110</v>
      </c>
      <c r="K1409" s="15" t="s">
        <v>2790</v>
      </c>
    </row>
    <row r="1410" spans="1:11" hidden="1" x14ac:dyDescent="0.25">
      <c r="A1410" s="11" t="s">
        <v>2</v>
      </c>
      <c r="H1410" s="14" t="s">
        <v>110</v>
      </c>
      <c r="I1410" s="14" t="s">
        <v>110</v>
      </c>
      <c r="K1410" s="15" t="s">
        <v>2791</v>
      </c>
    </row>
    <row r="1411" spans="1:11" hidden="1" x14ac:dyDescent="0.25">
      <c r="A1411" s="11" t="s">
        <v>2</v>
      </c>
      <c r="H1411" s="14" t="s">
        <v>110</v>
      </c>
      <c r="I1411" s="14" t="s">
        <v>110</v>
      </c>
      <c r="K1411" s="15" t="s">
        <v>2792</v>
      </c>
    </row>
    <row r="1412" spans="1:11" hidden="1" x14ac:dyDescent="0.25">
      <c r="A1412" s="11" t="s">
        <v>2</v>
      </c>
      <c r="H1412" s="14" t="s">
        <v>110</v>
      </c>
      <c r="I1412" s="14" t="s">
        <v>110</v>
      </c>
      <c r="K1412" s="15" t="s">
        <v>2793</v>
      </c>
    </row>
    <row r="1413" spans="1:11" hidden="1" x14ac:dyDescent="0.25">
      <c r="A1413" s="11" t="s">
        <v>2</v>
      </c>
      <c r="H1413" s="14" t="s">
        <v>110</v>
      </c>
      <c r="I1413" s="14" t="s">
        <v>110</v>
      </c>
      <c r="K1413" s="15" t="s">
        <v>3172</v>
      </c>
    </row>
    <row r="1414" spans="1:11" hidden="1" x14ac:dyDescent="0.25">
      <c r="A1414" s="11" t="s">
        <v>2</v>
      </c>
      <c r="H1414" s="14" t="s">
        <v>110</v>
      </c>
      <c r="I1414" s="14" t="s">
        <v>110</v>
      </c>
      <c r="K1414" s="15" t="s">
        <v>3173</v>
      </c>
    </row>
    <row r="1415" spans="1:11" hidden="1" x14ac:dyDescent="0.25">
      <c r="A1415" s="11" t="s">
        <v>2</v>
      </c>
      <c r="H1415" s="14" t="s">
        <v>110</v>
      </c>
      <c r="I1415" s="14" t="s">
        <v>110</v>
      </c>
      <c r="K1415" s="15" t="s">
        <v>3174</v>
      </c>
    </row>
    <row r="1416" spans="1:11" hidden="1" x14ac:dyDescent="0.25">
      <c r="A1416" s="11" t="s">
        <v>2</v>
      </c>
      <c r="H1416" s="14" t="s">
        <v>110</v>
      </c>
      <c r="I1416" s="14" t="s">
        <v>110</v>
      </c>
      <c r="K1416" s="15" t="s">
        <v>3175</v>
      </c>
    </row>
    <row r="1417" spans="1:11" hidden="1" x14ac:dyDescent="0.25">
      <c r="A1417" s="11" t="s">
        <v>2</v>
      </c>
      <c r="H1417" s="14" t="s">
        <v>110</v>
      </c>
      <c r="I1417" s="14" t="s">
        <v>110</v>
      </c>
      <c r="K1417" s="15" t="s">
        <v>3176</v>
      </c>
    </row>
    <row r="1418" spans="1:11" hidden="1" x14ac:dyDescent="0.25">
      <c r="A1418" s="11" t="s">
        <v>2</v>
      </c>
      <c r="H1418" s="14" t="s">
        <v>110</v>
      </c>
      <c r="I1418" s="14" t="s">
        <v>110</v>
      </c>
      <c r="K1418" s="15" t="s">
        <v>3177</v>
      </c>
    </row>
    <row r="1419" spans="1:11" hidden="1" x14ac:dyDescent="0.25">
      <c r="A1419" s="11" t="s">
        <v>2</v>
      </c>
      <c r="H1419" s="14" t="s">
        <v>110</v>
      </c>
      <c r="I1419" s="14" t="s">
        <v>110</v>
      </c>
      <c r="K1419" s="15" t="s">
        <v>3178</v>
      </c>
    </row>
    <row r="1420" spans="1:11" hidden="1" x14ac:dyDescent="0.25">
      <c r="A1420" s="11" t="s">
        <v>2</v>
      </c>
      <c r="H1420" s="14" t="s">
        <v>110</v>
      </c>
      <c r="I1420" s="14" t="s">
        <v>110</v>
      </c>
      <c r="K1420" s="15" t="s">
        <v>3179</v>
      </c>
    </row>
    <row r="1421" spans="1:11" hidden="1" x14ac:dyDescent="0.25">
      <c r="A1421" s="11" t="s">
        <v>2</v>
      </c>
      <c r="H1421" s="14" t="s">
        <v>110</v>
      </c>
      <c r="I1421" s="14" t="s">
        <v>110</v>
      </c>
      <c r="K1421" s="15" t="s">
        <v>3180</v>
      </c>
    </row>
    <row r="1422" spans="1:11" hidden="1" x14ac:dyDescent="0.25">
      <c r="A1422" s="11" t="s">
        <v>2</v>
      </c>
      <c r="H1422" s="14" t="s">
        <v>110</v>
      </c>
      <c r="I1422" s="14" t="s">
        <v>110</v>
      </c>
      <c r="K1422" s="15" t="s">
        <v>3181</v>
      </c>
    </row>
    <row r="1423" spans="1:11" hidden="1" x14ac:dyDescent="0.25">
      <c r="A1423" s="11" t="s">
        <v>2</v>
      </c>
      <c r="H1423" s="14" t="s">
        <v>110</v>
      </c>
      <c r="I1423" s="14" t="s">
        <v>110</v>
      </c>
      <c r="K1423" s="15" t="s">
        <v>3182</v>
      </c>
    </row>
    <row r="1424" spans="1:11" hidden="1" x14ac:dyDescent="0.25">
      <c r="A1424" s="11" t="s">
        <v>2</v>
      </c>
      <c r="H1424" s="14" t="s">
        <v>110</v>
      </c>
      <c r="I1424" s="14" t="s">
        <v>110</v>
      </c>
      <c r="K1424" s="15" t="s">
        <v>3235</v>
      </c>
    </row>
    <row r="1425" spans="1:11" hidden="1" x14ac:dyDescent="0.25">
      <c r="A1425" s="11" t="s">
        <v>2</v>
      </c>
      <c r="H1425" s="14" t="s">
        <v>110</v>
      </c>
      <c r="I1425" s="14" t="s">
        <v>110</v>
      </c>
      <c r="K1425" s="15" t="s">
        <v>646</v>
      </c>
    </row>
    <row r="1426" spans="1:11" hidden="1" x14ac:dyDescent="0.25">
      <c r="A1426" s="11" t="s">
        <v>2</v>
      </c>
      <c r="H1426" s="14" t="s">
        <v>110</v>
      </c>
      <c r="I1426" s="14" t="s">
        <v>110</v>
      </c>
      <c r="K1426" s="15" t="s">
        <v>3237</v>
      </c>
    </row>
    <row r="1427" spans="1:11" hidden="1" x14ac:dyDescent="0.25">
      <c r="A1427" s="11" t="s">
        <v>2</v>
      </c>
      <c r="H1427" s="14" t="s">
        <v>110</v>
      </c>
      <c r="I1427" s="14" t="s">
        <v>110</v>
      </c>
      <c r="K1427" s="15" t="s">
        <v>3238</v>
      </c>
    </row>
    <row r="1428" spans="1:11" hidden="1" x14ac:dyDescent="0.25">
      <c r="A1428" s="11" t="s">
        <v>2</v>
      </c>
      <c r="H1428" s="14" t="s">
        <v>110</v>
      </c>
      <c r="I1428" s="14" t="s">
        <v>110</v>
      </c>
      <c r="K1428" s="15" t="s">
        <v>3239</v>
      </c>
    </row>
    <row r="1429" spans="1:11" hidden="1" x14ac:dyDescent="0.25">
      <c r="A1429" s="11" t="s">
        <v>2</v>
      </c>
      <c r="H1429" s="14" t="s">
        <v>110</v>
      </c>
      <c r="I1429" s="14" t="s">
        <v>110</v>
      </c>
      <c r="K1429" s="15" t="s">
        <v>3240</v>
      </c>
    </row>
    <row r="1430" spans="1:11" hidden="1" x14ac:dyDescent="0.25">
      <c r="A1430" s="11" t="s">
        <v>2</v>
      </c>
      <c r="H1430" s="14" t="s">
        <v>110</v>
      </c>
      <c r="I1430" s="14" t="s">
        <v>110</v>
      </c>
      <c r="K1430" s="15" t="s">
        <v>647</v>
      </c>
    </row>
    <row r="1431" spans="1:11" hidden="1" x14ac:dyDescent="0.25">
      <c r="A1431" s="11" t="s">
        <v>2</v>
      </c>
      <c r="H1431" s="14" t="s">
        <v>110</v>
      </c>
      <c r="I1431" s="14" t="s">
        <v>110</v>
      </c>
      <c r="K1431" s="15" t="s">
        <v>648</v>
      </c>
    </row>
    <row r="1432" spans="1:11" hidden="1" x14ac:dyDescent="0.25">
      <c r="A1432" s="11" t="s">
        <v>2</v>
      </c>
      <c r="H1432" s="14" t="s">
        <v>110</v>
      </c>
      <c r="I1432" s="14" t="s">
        <v>110</v>
      </c>
      <c r="K1432" s="15" t="s">
        <v>649</v>
      </c>
    </row>
    <row r="1433" spans="1:11" hidden="1" x14ac:dyDescent="0.25">
      <c r="A1433" s="11" t="s">
        <v>2</v>
      </c>
      <c r="H1433" s="14" t="s">
        <v>110</v>
      </c>
      <c r="I1433" s="14" t="s">
        <v>110</v>
      </c>
      <c r="K1433" s="15" t="s">
        <v>3247</v>
      </c>
    </row>
    <row r="1434" spans="1:11" hidden="1" x14ac:dyDescent="0.25">
      <c r="A1434" s="11" t="s">
        <v>2</v>
      </c>
      <c r="H1434" s="14" t="s">
        <v>110</v>
      </c>
      <c r="I1434" s="14" t="s">
        <v>110</v>
      </c>
      <c r="K1434" s="15" t="s">
        <v>3248</v>
      </c>
    </row>
    <row r="1435" spans="1:11" hidden="1" x14ac:dyDescent="0.25">
      <c r="A1435" s="11" t="s">
        <v>2</v>
      </c>
      <c r="H1435" s="14" t="s">
        <v>110</v>
      </c>
      <c r="I1435" s="14" t="s">
        <v>110</v>
      </c>
      <c r="K1435" s="15" t="s">
        <v>3249</v>
      </c>
    </row>
    <row r="1436" spans="1:11" hidden="1" x14ac:dyDescent="0.25">
      <c r="A1436" s="11" t="s">
        <v>2</v>
      </c>
      <c r="H1436" s="14" t="s">
        <v>110</v>
      </c>
      <c r="I1436" s="14" t="s">
        <v>110</v>
      </c>
      <c r="K1436" s="15" t="s">
        <v>3253</v>
      </c>
    </row>
    <row r="1437" spans="1:11" hidden="1" x14ac:dyDescent="0.25">
      <c r="A1437" s="11" t="s">
        <v>2</v>
      </c>
      <c r="H1437" s="14" t="s">
        <v>110</v>
      </c>
      <c r="I1437" s="14" t="s">
        <v>110</v>
      </c>
      <c r="K1437" s="15" t="s">
        <v>3254</v>
      </c>
    </row>
    <row r="1438" spans="1:11" hidden="1" x14ac:dyDescent="0.25">
      <c r="A1438" s="11" t="s">
        <v>2</v>
      </c>
      <c r="H1438" s="14" t="s">
        <v>110</v>
      </c>
      <c r="I1438" s="14" t="s">
        <v>110</v>
      </c>
      <c r="K1438" s="15" t="s">
        <v>3257</v>
      </c>
    </row>
    <row r="1439" spans="1:11" hidden="1" x14ac:dyDescent="0.25">
      <c r="A1439" s="11" t="s">
        <v>2</v>
      </c>
      <c r="H1439" s="14" t="s">
        <v>110</v>
      </c>
      <c r="I1439" s="14" t="s">
        <v>110</v>
      </c>
      <c r="K1439" s="15" t="s">
        <v>3258</v>
      </c>
    </row>
    <row r="1440" spans="1:11" hidden="1" x14ac:dyDescent="0.25">
      <c r="A1440" s="11" t="s">
        <v>2</v>
      </c>
      <c r="H1440" s="14" t="s">
        <v>110</v>
      </c>
      <c r="I1440" s="14" t="s">
        <v>110</v>
      </c>
      <c r="K1440" s="15" t="s">
        <v>3260</v>
      </c>
    </row>
    <row r="1441" spans="1:11" hidden="1" x14ac:dyDescent="0.25">
      <c r="A1441" s="11" t="s">
        <v>2</v>
      </c>
      <c r="H1441" s="14" t="s">
        <v>110</v>
      </c>
      <c r="I1441" s="14" t="s">
        <v>110</v>
      </c>
      <c r="K1441" s="15" t="s">
        <v>3261</v>
      </c>
    </row>
    <row r="1442" spans="1:11" hidden="1" x14ac:dyDescent="0.25"/>
    <row r="1443" spans="1:11" hidden="1" x14ac:dyDescent="0.25"/>
    <row r="1444" spans="1:11" hidden="1" x14ac:dyDescent="0.25"/>
    <row r="1445" spans="1:11" hidden="1" x14ac:dyDescent="0.25"/>
    <row r="1446" spans="1:11" hidden="1" x14ac:dyDescent="0.25"/>
  </sheetData>
  <autoFilter ref="A1:O1446" xr:uid="{10DFA1A3-740D-4E62-9639-64ED6CDA623F}">
    <filterColumn colId="1">
      <filters>
        <filter val="C.L.P.1 / La Résidence"/>
      </filters>
    </filterColumn>
    <sortState xmlns:xlrd2="http://schemas.microsoft.com/office/spreadsheetml/2017/richdata2" ref="A192:O687">
      <sortCondition ref="I1:I1446"/>
    </sortState>
  </autoFilter>
  <sortState xmlns:xlrd2="http://schemas.microsoft.com/office/spreadsheetml/2017/richdata2" ref="A261:O293">
    <sortCondition ref="N3:N380"/>
    <sortCondition ref="F3:F380"/>
    <sortCondition ref="E3:E380"/>
  </sortState>
  <phoneticPr fontId="7" type="noConversion"/>
  <conditionalFormatting sqref="E1 A2:E1048576">
    <cfRule type="expression" dxfId="11" priority="3169">
      <formula>$G1="FDMxx"</formula>
    </cfRule>
    <cfRule type="expression" dxfId="10" priority="3170">
      <formula>$G1="FDCxx"</formula>
    </cfRule>
  </conditionalFormatting>
  <conditionalFormatting sqref="K1:K1048576">
    <cfRule type="duplicateValues" dxfId="9" priority="4"/>
  </conditionalFormatting>
  <conditionalFormatting sqref="A1:N1">
    <cfRule type="expression" dxfId="8" priority="5">
      <formula>LEFT($H1,3)="FDM"</formula>
    </cfRule>
    <cfRule type="expression" dxfId="7" priority="6">
      <formula>LEFT($H1,3)="FDC"</formula>
    </cfRule>
  </conditionalFormatting>
  <conditionalFormatting sqref="A3:O2000">
    <cfRule type="expression" dxfId="6" priority="1">
      <formula>LEFT($H3,3)="FDC"</formula>
    </cfRule>
    <cfRule type="expression" dxfId="5" priority="2">
      <formula>LEFT($H3,3)="FDM"</formula>
    </cfRule>
    <cfRule type="expression" dxfId="4" priority="3">
      <formula>LEFT($H3,3)="FDS"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UserForm">
          <controlPr defaultSize="0" autoLine="0" r:id="rId4">
            <anchor moveWithCells="1">
              <from>
                <xdr:col>1</xdr:col>
                <xdr:colOff>19050</xdr:colOff>
                <xdr:row>0</xdr:row>
                <xdr:rowOff>66675</xdr:rowOff>
              </from>
              <to>
                <xdr:col>1</xdr:col>
                <xdr:colOff>781050</xdr:colOff>
                <xdr:row>0</xdr:row>
                <xdr:rowOff>333375</xdr:rowOff>
              </to>
            </anchor>
          </controlPr>
        </control>
      </mc:Choice>
      <mc:Fallback>
        <control shapeId="1025" r:id="rId3" name="cmdUserForm"/>
      </mc:Fallback>
    </mc:AlternateContent>
    <mc:AlternateContent xmlns:mc="http://schemas.openxmlformats.org/markup-compatibility/2006">
      <mc:Choice Requires="x14">
        <control shapeId="1026" r:id="rId5" name="cmdTreeView">
          <controlPr defaultSize="0" autoLine="0" r:id="rId6">
            <anchor moveWithCells="1">
              <from>
                <xdr:col>3</xdr:col>
                <xdr:colOff>28575</xdr:colOff>
                <xdr:row>0</xdr:row>
                <xdr:rowOff>66675</xdr:rowOff>
              </from>
              <to>
                <xdr:col>3</xdr:col>
                <xdr:colOff>790575</xdr:colOff>
                <xdr:row>0</xdr:row>
                <xdr:rowOff>333375</xdr:rowOff>
              </to>
            </anchor>
          </controlPr>
        </control>
      </mc:Choice>
      <mc:Fallback>
        <control shapeId="1026" r:id="rId5" name="cmdTreeView"/>
      </mc:Fallback>
    </mc:AlternateContent>
    <mc:AlternateContent xmlns:mc="http://schemas.openxmlformats.org/markup-compatibility/2006">
      <mc:Choice Requires="x14">
        <control shapeId="1027" r:id="rId7" name="cmdCheck">
          <controlPr defaultSize="0" autoLine="0" r:id="rId8">
            <anchor moveWithCells="1">
              <from>
                <xdr:col>4</xdr:col>
                <xdr:colOff>57150</xdr:colOff>
                <xdr:row>0</xdr:row>
                <xdr:rowOff>66675</xdr:rowOff>
              </from>
              <to>
                <xdr:col>4</xdr:col>
                <xdr:colOff>819150</xdr:colOff>
                <xdr:row>0</xdr:row>
                <xdr:rowOff>333375</xdr:rowOff>
              </to>
            </anchor>
          </controlPr>
        </control>
      </mc:Choice>
      <mc:Fallback>
        <control shapeId="1027" r:id="rId7" name="cmdCheck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008A4-3380-4B24-A71E-C7DDDC22CE3C}">
  <sheetPr codeName="Feuil3">
    <outlinePr applyStyles="1" summaryBelow="0"/>
  </sheetPr>
  <dimension ref="A1:I80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outlineLevelRow="3" x14ac:dyDescent="0.25"/>
  <cols>
    <col min="1" max="1" width="7" bestFit="1" customWidth="1"/>
    <col min="2" max="2" width="10.42578125" bestFit="1" customWidth="1"/>
    <col min="3" max="3" width="7.85546875" bestFit="1" customWidth="1"/>
    <col min="4" max="4" width="12.28515625" style="36" bestFit="1" customWidth="1"/>
    <col min="5" max="5" width="13.28515625" style="49" bestFit="1" customWidth="1"/>
    <col min="6" max="6" width="13.28515625" style="36" bestFit="1" customWidth="1"/>
    <col min="7" max="7" width="8.140625" bestFit="1" customWidth="1"/>
    <col min="8" max="8" width="14.7109375" style="37" bestFit="1" customWidth="1"/>
    <col min="9" max="9" width="12.140625" style="55" bestFit="1" customWidth="1"/>
  </cols>
  <sheetData>
    <row r="1" spans="1:9" ht="15.75" x14ac:dyDescent="0.25">
      <c r="A1" s="47" t="s">
        <v>8</v>
      </c>
      <c r="B1" s="47" t="s">
        <v>9</v>
      </c>
      <c r="C1" s="47" t="s">
        <v>10</v>
      </c>
      <c r="D1" s="48" t="s">
        <v>11</v>
      </c>
      <c r="E1" s="48" t="s">
        <v>37</v>
      </c>
      <c r="F1" s="48" t="s">
        <v>15</v>
      </c>
      <c r="G1" s="47" t="s">
        <v>14</v>
      </c>
      <c r="H1" s="50" t="s">
        <v>41</v>
      </c>
      <c r="I1" s="51" t="s">
        <v>34</v>
      </c>
    </row>
    <row r="2" spans="1:9" s="38" customFormat="1" x14ac:dyDescent="0.25">
      <c r="D2" s="44"/>
      <c r="E2" s="44"/>
      <c r="F2" s="44"/>
      <c r="H2" s="42"/>
      <c r="I2" s="52"/>
    </row>
    <row r="3" spans="1:9" s="39" customFormat="1" outlineLevel="1" x14ac:dyDescent="0.25">
      <c r="D3" s="45"/>
      <c r="E3" s="45"/>
      <c r="F3" s="45"/>
      <c r="H3" s="41"/>
      <c r="I3" s="53"/>
    </row>
    <row r="4" spans="1:9" s="40" customFormat="1" outlineLevel="2" x14ac:dyDescent="0.25">
      <c r="D4" s="46"/>
      <c r="E4" s="46"/>
      <c r="F4" s="46"/>
      <c r="H4" s="43"/>
      <c r="I4" s="54"/>
    </row>
    <row r="5" spans="1:9" outlineLevel="3" x14ac:dyDescent="0.25">
      <c r="E5" s="36"/>
    </row>
    <row r="6" spans="1:9" s="40" customFormat="1" outlineLevel="2" x14ac:dyDescent="0.25">
      <c r="D6" s="46"/>
      <c r="E6" s="46"/>
      <c r="F6" s="46"/>
      <c r="H6" s="43"/>
      <c r="I6" s="54"/>
    </row>
    <row r="7" spans="1:9" outlineLevel="3" x14ac:dyDescent="0.25">
      <c r="E7" s="36"/>
    </row>
    <row r="8" spans="1:9" s="40" customFormat="1" outlineLevel="2" x14ac:dyDescent="0.25">
      <c r="D8" s="46"/>
      <c r="E8" s="46"/>
      <c r="F8" s="46"/>
      <c r="H8" s="43"/>
      <c r="I8" s="54"/>
    </row>
    <row r="9" spans="1:9" outlineLevel="3" x14ac:dyDescent="0.25">
      <c r="E9" s="36"/>
    </row>
    <row r="10" spans="1:9" s="40" customFormat="1" outlineLevel="2" x14ac:dyDescent="0.25">
      <c r="D10" s="46"/>
      <c r="E10" s="46"/>
      <c r="F10" s="46"/>
      <c r="H10" s="43"/>
      <c r="I10" s="54"/>
    </row>
    <row r="11" spans="1:9" outlineLevel="3" x14ac:dyDescent="0.25">
      <c r="E11" s="36"/>
    </row>
    <row r="12" spans="1:9" s="40" customFormat="1" outlineLevel="2" x14ac:dyDescent="0.25">
      <c r="D12" s="46"/>
      <c r="E12" s="46"/>
      <c r="F12" s="46"/>
      <c r="H12" s="43"/>
      <c r="I12" s="54"/>
    </row>
    <row r="13" spans="1:9" outlineLevel="3" x14ac:dyDescent="0.25">
      <c r="E13" s="36"/>
    </row>
    <row r="14" spans="1:9" s="40" customFormat="1" outlineLevel="2" x14ac:dyDescent="0.25">
      <c r="D14" s="46"/>
      <c r="E14" s="46"/>
      <c r="F14" s="46"/>
      <c r="H14" s="43"/>
      <c r="I14" s="54"/>
    </row>
    <row r="15" spans="1:9" outlineLevel="3" x14ac:dyDescent="0.25">
      <c r="E15" s="36"/>
    </row>
    <row r="16" spans="1:9" s="40" customFormat="1" outlineLevel="2" x14ac:dyDescent="0.25">
      <c r="D16" s="46"/>
      <c r="E16" s="46"/>
      <c r="F16" s="46"/>
      <c r="H16" s="43"/>
      <c r="I16" s="54"/>
    </row>
    <row r="17" spans="4:9" outlineLevel="3" x14ac:dyDescent="0.25">
      <c r="E17" s="36"/>
    </row>
    <row r="18" spans="4:9" s="40" customFormat="1" outlineLevel="2" x14ac:dyDescent="0.25">
      <c r="D18" s="46"/>
      <c r="E18" s="46"/>
      <c r="F18" s="46"/>
      <c r="H18" s="43"/>
      <c r="I18" s="54"/>
    </row>
    <row r="19" spans="4:9" outlineLevel="3" x14ac:dyDescent="0.25">
      <c r="E19" s="36"/>
    </row>
    <row r="20" spans="4:9" s="40" customFormat="1" outlineLevel="2" x14ac:dyDescent="0.25">
      <c r="D20" s="46"/>
      <c r="E20" s="46"/>
      <c r="F20" s="46"/>
      <c r="H20" s="43"/>
      <c r="I20" s="54"/>
    </row>
    <row r="21" spans="4:9" outlineLevel="3" x14ac:dyDescent="0.25">
      <c r="E21" s="36"/>
    </row>
    <row r="22" spans="4:9" s="40" customFormat="1" outlineLevel="2" x14ac:dyDescent="0.25">
      <c r="D22" s="46"/>
      <c r="E22" s="46"/>
      <c r="F22" s="46"/>
      <c r="H22" s="43"/>
      <c r="I22" s="54"/>
    </row>
    <row r="23" spans="4:9" outlineLevel="3" x14ac:dyDescent="0.25">
      <c r="E23" s="36"/>
    </row>
    <row r="24" spans="4:9" s="40" customFormat="1" outlineLevel="2" x14ac:dyDescent="0.25">
      <c r="D24" s="46"/>
      <c r="E24" s="46"/>
      <c r="F24" s="46"/>
      <c r="H24" s="43"/>
      <c r="I24" s="54"/>
    </row>
    <row r="25" spans="4:9" outlineLevel="3" x14ac:dyDescent="0.25">
      <c r="E25" s="36"/>
    </row>
    <row r="26" spans="4:9" s="40" customFormat="1" outlineLevel="2" x14ac:dyDescent="0.25">
      <c r="D26" s="46"/>
      <c r="E26" s="46"/>
      <c r="F26" s="46"/>
      <c r="H26" s="43"/>
      <c r="I26" s="54"/>
    </row>
    <row r="27" spans="4:9" outlineLevel="3" x14ac:dyDescent="0.25">
      <c r="E27" s="36"/>
    </row>
    <row r="28" spans="4:9" s="40" customFormat="1" outlineLevel="2" x14ac:dyDescent="0.25">
      <c r="D28" s="46"/>
      <c r="E28" s="46"/>
      <c r="F28" s="46"/>
      <c r="H28" s="43"/>
      <c r="I28" s="54"/>
    </row>
    <row r="29" spans="4:9" outlineLevel="3" x14ac:dyDescent="0.25">
      <c r="E29" s="36"/>
    </row>
    <row r="30" spans="4:9" s="40" customFormat="1" outlineLevel="2" x14ac:dyDescent="0.25">
      <c r="D30" s="46"/>
      <c r="E30" s="46"/>
      <c r="F30" s="46"/>
      <c r="H30" s="43"/>
      <c r="I30" s="54"/>
    </row>
    <row r="31" spans="4:9" outlineLevel="3" x14ac:dyDescent="0.25">
      <c r="E31" s="36"/>
    </row>
    <row r="32" spans="4:9" s="40" customFormat="1" outlineLevel="2" x14ac:dyDescent="0.25">
      <c r="D32" s="46"/>
      <c r="E32" s="46"/>
      <c r="F32" s="46"/>
      <c r="H32" s="43"/>
      <c r="I32" s="54"/>
    </row>
    <row r="33" spans="4:9" outlineLevel="3" x14ac:dyDescent="0.25">
      <c r="E33" s="36"/>
    </row>
    <row r="34" spans="4:9" s="40" customFormat="1" outlineLevel="2" x14ac:dyDescent="0.25">
      <c r="D34" s="46"/>
      <c r="E34" s="46"/>
      <c r="F34" s="46"/>
      <c r="H34" s="43"/>
      <c r="I34" s="54"/>
    </row>
    <row r="35" spans="4:9" outlineLevel="3" x14ac:dyDescent="0.25">
      <c r="E35" s="36"/>
    </row>
    <row r="36" spans="4:9" s="40" customFormat="1" outlineLevel="2" x14ac:dyDescent="0.25">
      <c r="D36" s="46"/>
      <c r="E36" s="46"/>
      <c r="F36" s="46"/>
      <c r="H36" s="43"/>
      <c r="I36" s="54"/>
    </row>
    <row r="37" spans="4:9" outlineLevel="3" x14ac:dyDescent="0.25">
      <c r="E37" s="36"/>
    </row>
    <row r="38" spans="4:9" s="40" customFormat="1" outlineLevel="2" x14ac:dyDescent="0.25">
      <c r="D38" s="46"/>
      <c r="E38" s="46"/>
      <c r="F38" s="46"/>
      <c r="H38" s="43"/>
      <c r="I38" s="54"/>
    </row>
    <row r="39" spans="4:9" outlineLevel="3" x14ac:dyDescent="0.25">
      <c r="E39" s="36"/>
    </row>
    <row r="40" spans="4:9" s="40" customFormat="1" outlineLevel="2" x14ac:dyDescent="0.25">
      <c r="D40" s="46"/>
      <c r="E40" s="46"/>
      <c r="F40" s="46"/>
      <c r="H40" s="43"/>
      <c r="I40" s="54"/>
    </row>
    <row r="41" spans="4:9" outlineLevel="3" x14ac:dyDescent="0.25">
      <c r="E41" s="36"/>
    </row>
    <row r="42" spans="4:9" s="40" customFormat="1" outlineLevel="2" x14ac:dyDescent="0.25">
      <c r="D42" s="46"/>
      <c r="E42" s="46"/>
      <c r="F42" s="46"/>
      <c r="H42" s="43"/>
      <c r="I42" s="54"/>
    </row>
    <row r="43" spans="4:9" outlineLevel="3" x14ac:dyDescent="0.25">
      <c r="E43" s="36"/>
    </row>
    <row r="44" spans="4:9" s="40" customFormat="1" outlineLevel="2" x14ac:dyDescent="0.25"/>
    <row r="45" spans="4:9" outlineLevel="3" x14ac:dyDescent="0.25">
      <c r="E45" s="36"/>
    </row>
    <row r="46" spans="4:9" s="39" customFormat="1" outlineLevel="1" x14ac:dyDescent="0.25"/>
    <row r="47" spans="4:9" s="40" customFormat="1" outlineLevel="2" x14ac:dyDescent="0.25"/>
    <row r="48" spans="4:9" outlineLevel="3" x14ac:dyDescent="0.25">
      <c r="E48" s="36"/>
    </row>
    <row r="49" spans="5:5" s="40" customFormat="1" outlineLevel="2" x14ac:dyDescent="0.25"/>
    <row r="50" spans="5:5" outlineLevel="3" x14ac:dyDescent="0.25">
      <c r="E50" s="36"/>
    </row>
    <row r="51" spans="5:5" s="40" customFormat="1" outlineLevel="2" x14ac:dyDescent="0.25"/>
    <row r="52" spans="5:5" outlineLevel="3" x14ac:dyDescent="0.25">
      <c r="E52" s="36"/>
    </row>
    <row r="53" spans="5:5" s="39" customFormat="1" outlineLevel="1" x14ac:dyDescent="0.25"/>
    <row r="54" spans="5:5" s="40" customFormat="1" outlineLevel="2" x14ac:dyDescent="0.25"/>
    <row r="55" spans="5:5" outlineLevel="3" x14ac:dyDescent="0.25">
      <c r="E55" s="36"/>
    </row>
    <row r="56" spans="5:5" s="40" customFormat="1" outlineLevel="2" x14ac:dyDescent="0.25"/>
    <row r="57" spans="5:5" outlineLevel="3" x14ac:dyDescent="0.25">
      <c r="E57" s="36"/>
    </row>
    <row r="58" spans="5:5" s="40" customFormat="1" outlineLevel="2" x14ac:dyDescent="0.25"/>
    <row r="59" spans="5:5" outlineLevel="3" x14ac:dyDescent="0.25">
      <c r="E59" s="36"/>
    </row>
    <row r="60" spans="5:5" s="40" customFormat="1" outlineLevel="2" x14ac:dyDescent="0.25"/>
    <row r="61" spans="5:5" outlineLevel="3" x14ac:dyDescent="0.25">
      <c r="E61" s="36"/>
    </row>
    <row r="62" spans="5:5" s="40" customFormat="1" outlineLevel="2" x14ac:dyDescent="0.25"/>
    <row r="63" spans="5:5" outlineLevel="3" x14ac:dyDescent="0.25">
      <c r="E63" s="36"/>
    </row>
    <row r="64" spans="5:5" s="40" customFormat="1" outlineLevel="2" x14ac:dyDescent="0.25"/>
    <row r="65" spans="5:9" outlineLevel="3" x14ac:dyDescent="0.25">
      <c r="E65" s="36"/>
    </row>
    <row r="66" spans="5:9" s="40" customFormat="1" outlineLevel="2" x14ac:dyDescent="0.25"/>
    <row r="67" spans="5:9" outlineLevel="3" x14ac:dyDescent="0.25">
      <c r="E67" s="36"/>
    </row>
    <row r="68" spans="5:9" s="40" customFormat="1" outlineLevel="2" x14ac:dyDescent="0.25"/>
    <row r="69" spans="5:9" outlineLevel="3" x14ac:dyDescent="0.25">
      <c r="E69" s="36"/>
    </row>
    <row r="70" spans="5:9" s="40" customFormat="1" outlineLevel="2" x14ac:dyDescent="0.25"/>
    <row r="71" spans="5:9" outlineLevel="3" x14ac:dyDescent="0.25">
      <c r="E71" s="36"/>
    </row>
    <row r="72" spans="5:9" s="40" customFormat="1" outlineLevel="2" x14ac:dyDescent="0.25"/>
    <row r="73" spans="5:9" outlineLevel="3" x14ac:dyDescent="0.25">
      <c r="E73" s="36"/>
    </row>
    <row r="74" spans="5:9" s="40" customFormat="1" outlineLevel="2" x14ac:dyDescent="0.25">
      <c r="I74" s="108"/>
    </row>
    <row r="75" spans="5:9" outlineLevel="3" x14ac:dyDescent="0.25">
      <c r="E75" s="36"/>
    </row>
    <row r="76" spans="5:9" s="40" customFormat="1" outlineLevel="2" x14ac:dyDescent="0.25">
      <c r="I76" s="108"/>
    </row>
    <row r="77" spans="5:9" outlineLevel="3" x14ac:dyDescent="0.25">
      <c r="E77" s="36"/>
    </row>
    <row r="78" spans="5:9" s="40" customFormat="1" outlineLevel="2" x14ac:dyDescent="0.25"/>
    <row r="79" spans="5:9" outlineLevel="3" x14ac:dyDescent="0.25">
      <c r="E79" s="36"/>
    </row>
    <row r="80" spans="5:9" s="40" customFormat="1" outlineLevel="2" x14ac:dyDescent="0.25"/>
    <row r="81" spans="5:5" outlineLevel="3" x14ac:dyDescent="0.25">
      <c r="E81" s="36"/>
    </row>
    <row r="82" spans="5:5" s="40" customFormat="1" outlineLevel="2" x14ac:dyDescent="0.25"/>
    <row r="83" spans="5:5" outlineLevel="3" x14ac:dyDescent="0.25">
      <c r="E83" s="36"/>
    </row>
    <row r="84" spans="5:5" s="40" customFormat="1" outlineLevel="2" x14ac:dyDescent="0.25"/>
    <row r="85" spans="5:5" outlineLevel="3" x14ac:dyDescent="0.25">
      <c r="E85" s="36"/>
    </row>
    <row r="86" spans="5:5" s="40" customFormat="1" outlineLevel="2" x14ac:dyDescent="0.25"/>
    <row r="87" spans="5:5" outlineLevel="3" x14ac:dyDescent="0.25">
      <c r="E87" s="36"/>
    </row>
    <row r="88" spans="5:5" s="40" customFormat="1" outlineLevel="2" x14ac:dyDescent="0.25"/>
    <row r="89" spans="5:5" outlineLevel="3" x14ac:dyDescent="0.25">
      <c r="E89" s="36"/>
    </row>
    <row r="90" spans="5:5" s="40" customFormat="1" outlineLevel="2" x14ac:dyDescent="0.25"/>
    <row r="91" spans="5:5" outlineLevel="3" x14ac:dyDescent="0.25">
      <c r="E91" s="36"/>
    </row>
    <row r="92" spans="5:5" s="40" customFormat="1" outlineLevel="2" x14ac:dyDescent="0.25"/>
    <row r="93" spans="5:5" outlineLevel="3" x14ac:dyDescent="0.25">
      <c r="E93" s="36"/>
    </row>
    <row r="94" spans="5:5" s="40" customFormat="1" outlineLevel="2" x14ac:dyDescent="0.25"/>
    <row r="95" spans="5:5" outlineLevel="3" x14ac:dyDescent="0.25">
      <c r="E95" s="36"/>
    </row>
    <row r="96" spans="5:5" s="40" customFormat="1" outlineLevel="2" x14ac:dyDescent="0.25"/>
    <row r="97" spans="5:5" outlineLevel="3" x14ac:dyDescent="0.25">
      <c r="E97" s="36"/>
    </row>
    <row r="98" spans="5:5" s="40" customFormat="1" outlineLevel="2" x14ac:dyDescent="0.25"/>
    <row r="99" spans="5:5" outlineLevel="3" x14ac:dyDescent="0.25">
      <c r="E99" s="36"/>
    </row>
    <row r="100" spans="5:5" s="40" customFormat="1" outlineLevel="2" x14ac:dyDescent="0.25"/>
    <row r="101" spans="5:5" outlineLevel="3" x14ac:dyDescent="0.25">
      <c r="E101" s="36"/>
    </row>
    <row r="102" spans="5:5" s="40" customFormat="1" outlineLevel="2" x14ac:dyDescent="0.25"/>
    <row r="103" spans="5:5" outlineLevel="3" x14ac:dyDescent="0.25">
      <c r="E103" s="36"/>
    </row>
    <row r="104" spans="5:5" s="40" customFormat="1" outlineLevel="2" x14ac:dyDescent="0.25"/>
    <row r="105" spans="5:5" outlineLevel="3" x14ac:dyDescent="0.25">
      <c r="E105" s="36"/>
    </row>
    <row r="106" spans="5:5" s="40" customFormat="1" outlineLevel="2" x14ac:dyDescent="0.25"/>
    <row r="107" spans="5:5" outlineLevel="3" x14ac:dyDescent="0.25">
      <c r="E107" s="36"/>
    </row>
    <row r="108" spans="5:5" s="40" customFormat="1" outlineLevel="2" x14ac:dyDescent="0.25"/>
    <row r="109" spans="5:5" outlineLevel="3" x14ac:dyDescent="0.25">
      <c r="E109" s="36"/>
    </row>
    <row r="110" spans="5:5" s="40" customFormat="1" outlineLevel="2" x14ac:dyDescent="0.25"/>
    <row r="111" spans="5:5" outlineLevel="3" x14ac:dyDescent="0.25">
      <c r="E111" s="36"/>
    </row>
    <row r="112" spans="5:5" s="39" customFormat="1" outlineLevel="1" x14ac:dyDescent="0.25"/>
    <row r="113" spans="5:5" s="40" customFormat="1" outlineLevel="2" x14ac:dyDescent="0.25"/>
    <row r="114" spans="5:5" outlineLevel="3" x14ac:dyDescent="0.25">
      <c r="E114" s="36"/>
    </row>
    <row r="115" spans="5:5" s="40" customFormat="1" outlineLevel="2" x14ac:dyDescent="0.25"/>
    <row r="116" spans="5:5" outlineLevel="3" x14ac:dyDescent="0.25">
      <c r="E116" s="36"/>
    </row>
    <row r="117" spans="5:5" s="40" customFormat="1" outlineLevel="2" x14ac:dyDescent="0.25"/>
    <row r="118" spans="5:5" outlineLevel="3" x14ac:dyDescent="0.25">
      <c r="E118" s="36"/>
    </row>
    <row r="119" spans="5:5" s="40" customFormat="1" outlineLevel="2" x14ac:dyDescent="0.25"/>
    <row r="120" spans="5:5" outlineLevel="3" x14ac:dyDescent="0.25">
      <c r="E120" s="36"/>
    </row>
    <row r="121" spans="5:5" s="40" customFormat="1" outlineLevel="2" x14ac:dyDescent="0.25"/>
    <row r="122" spans="5:5" outlineLevel="3" x14ac:dyDescent="0.25">
      <c r="E122" s="36"/>
    </row>
    <row r="123" spans="5:5" s="40" customFormat="1" outlineLevel="2" x14ac:dyDescent="0.25"/>
    <row r="124" spans="5:5" outlineLevel="3" x14ac:dyDescent="0.25">
      <c r="E124" s="36"/>
    </row>
    <row r="125" spans="5:5" s="39" customFormat="1" outlineLevel="1" x14ac:dyDescent="0.25"/>
    <row r="126" spans="5:5" s="40" customFormat="1" outlineLevel="2" x14ac:dyDescent="0.25"/>
    <row r="127" spans="5:5" outlineLevel="3" x14ac:dyDescent="0.25">
      <c r="E127" s="36"/>
    </row>
    <row r="128" spans="5:5" s="40" customFormat="1" outlineLevel="2" x14ac:dyDescent="0.25"/>
    <row r="129" spans="4:9" outlineLevel="3" x14ac:dyDescent="0.25">
      <c r="E129" s="36"/>
    </row>
    <row r="130" spans="4:9" outlineLevel="3" x14ac:dyDescent="0.25">
      <c r="E130" s="36"/>
    </row>
    <row r="131" spans="4:9" s="40" customFormat="1" outlineLevel="2" x14ac:dyDescent="0.25">
      <c r="D131" s="46"/>
      <c r="E131" s="46"/>
      <c r="F131" s="46"/>
      <c r="H131" s="43"/>
      <c r="I131" s="54"/>
    </row>
    <row r="132" spans="4:9" outlineLevel="3" x14ac:dyDescent="0.25">
      <c r="E132" s="36"/>
    </row>
    <row r="133" spans="4:9" s="40" customFormat="1" outlineLevel="2" x14ac:dyDescent="0.25"/>
    <row r="134" spans="4:9" outlineLevel="3" x14ac:dyDescent="0.25">
      <c r="E134" s="36"/>
    </row>
    <row r="135" spans="4:9" s="40" customFormat="1" outlineLevel="2" x14ac:dyDescent="0.25">
      <c r="I135" s="108"/>
    </row>
    <row r="136" spans="4:9" outlineLevel="3" x14ac:dyDescent="0.25">
      <c r="E136" s="36"/>
    </row>
    <row r="137" spans="4:9" s="40" customFormat="1" outlineLevel="2" x14ac:dyDescent="0.25"/>
    <row r="138" spans="4:9" outlineLevel="3" x14ac:dyDescent="0.25">
      <c r="E138" s="36"/>
    </row>
    <row r="139" spans="4:9" s="40" customFormat="1" outlineLevel="2" x14ac:dyDescent="0.25"/>
    <row r="140" spans="4:9" outlineLevel="3" x14ac:dyDescent="0.25">
      <c r="E140" s="36"/>
    </row>
    <row r="141" spans="4:9" s="40" customFormat="1" outlineLevel="2" x14ac:dyDescent="0.25"/>
    <row r="142" spans="4:9" outlineLevel="3" x14ac:dyDescent="0.25">
      <c r="E142" s="36"/>
    </row>
    <row r="143" spans="4:9" s="40" customFormat="1" outlineLevel="2" x14ac:dyDescent="0.25"/>
    <row r="144" spans="4:9" outlineLevel="3" x14ac:dyDescent="0.25">
      <c r="E144" s="36"/>
    </row>
    <row r="145" spans="4:9" s="40" customFormat="1" outlineLevel="2" x14ac:dyDescent="0.25"/>
    <row r="146" spans="4:9" outlineLevel="3" x14ac:dyDescent="0.25">
      <c r="E146" s="36"/>
    </row>
    <row r="147" spans="4:9" s="40" customFormat="1" outlineLevel="2" x14ac:dyDescent="0.25"/>
    <row r="148" spans="4:9" outlineLevel="3" x14ac:dyDescent="0.25">
      <c r="E148" s="36"/>
    </row>
    <row r="149" spans="4:9" s="40" customFormat="1" outlineLevel="2" x14ac:dyDescent="0.25"/>
    <row r="150" spans="4:9" outlineLevel="3" x14ac:dyDescent="0.25">
      <c r="E150" s="36"/>
    </row>
    <row r="151" spans="4:9" s="40" customFormat="1" outlineLevel="2" x14ac:dyDescent="0.25"/>
    <row r="152" spans="4:9" outlineLevel="3" x14ac:dyDescent="0.25">
      <c r="E152" s="36"/>
    </row>
    <row r="153" spans="4:9" s="40" customFormat="1" outlineLevel="2" x14ac:dyDescent="0.25">
      <c r="I153" s="108"/>
    </row>
    <row r="154" spans="4:9" outlineLevel="3" x14ac:dyDescent="0.25">
      <c r="E154" s="36"/>
    </row>
    <row r="155" spans="4:9" s="40" customFormat="1" outlineLevel="2" x14ac:dyDescent="0.25"/>
    <row r="156" spans="4:9" outlineLevel="3" x14ac:dyDescent="0.25">
      <c r="E156" s="36"/>
    </row>
    <row r="157" spans="4:9" s="40" customFormat="1" outlineLevel="2" x14ac:dyDescent="0.25"/>
    <row r="158" spans="4:9" outlineLevel="3" x14ac:dyDescent="0.25">
      <c r="E158" s="36"/>
    </row>
    <row r="159" spans="4:9" outlineLevel="3" x14ac:dyDescent="0.25">
      <c r="D159"/>
      <c r="E159"/>
      <c r="F159"/>
      <c r="H159"/>
      <c r="I159"/>
    </row>
    <row r="160" spans="4:9" s="40" customFormat="1" outlineLevel="2" x14ac:dyDescent="0.25">
      <c r="D160" s="46"/>
      <c r="E160" s="46"/>
      <c r="F160" s="46"/>
      <c r="H160" s="43"/>
      <c r="I160" s="54"/>
    </row>
    <row r="161" spans="4:9" outlineLevel="3" x14ac:dyDescent="0.25">
      <c r="D161"/>
      <c r="E161"/>
      <c r="F161"/>
      <c r="H161"/>
      <c r="I161"/>
    </row>
    <row r="162" spans="4:9" s="40" customFormat="1" outlineLevel="2" x14ac:dyDescent="0.25">
      <c r="D162" s="46"/>
      <c r="E162" s="46"/>
      <c r="F162" s="46"/>
      <c r="H162" s="43"/>
      <c r="I162" s="54"/>
    </row>
    <row r="163" spans="4:9" outlineLevel="3" x14ac:dyDescent="0.25">
      <c r="D163"/>
      <c r="E163"/>
      <c r="F163"/>
      <c r="H163"/>
      <c r="I163"/>
    </row>
    <row r="164" spans="4:9" s="40" customFormat="1" outlineLevel="2" x14ac:dyDescent="0.25">
      <c r="D164" s="46"/>
      <c r="E164" s="46"/>
      <c r="F164" s="46"/>
      <c r="H164" s="43"/>
      <c r="I164" s="54"/>
    </row>
    <row r="165" spans="4:9" outlineLevel="3" x14ac:dyDescent="0.25">
      <c r="D165"/>
      <c r="E165"/>
      <c r="F165"/>
      <c r="H165"/>
      <c r="I165"/>
    </row>
    <row r="166" spans="4:9" s="39" customFormat="1" outlineLevel="1" x14ac:dyDescent="0.25"/>
    <row r="167" spans="4:9" s="40" customFormat="1" outlineLevel="2" x14ac:dyDescent="0.25">
      <c r="D167" s="46"/>
      <c r="E167" s="46"/>
      <c r="F167" s="46"/>
      <c r="H167" s="43"/>
      <c r="I167" s="54"/>
    </row>
    <row r="168" spans="4:9" outlineLevel="3" x14ac:dyDescent="0.25">
      <c r="D168"/>
      <c r="E168"/>
      <c r="F168"/>
      <c r="H168"/>
      <c r="I168"/>
    </row>
    <row r="169" spans="4:9" s="40" customFormat="1" outlineLevel="2" x14ac:dyDescent="0.25"/>
    <row r="170" spans="4:9" outlineLevel="3" x14ac:dyDescent="0.25">
      <c r="E170" s="36"/>
    </row>
    <row r="171" spans="4:9" s="40" customFormat="1" outlineLevel="2" x14ac:dyDescent="0.25"/>
    <row r="172" spans="4:9" outlineLevel="3" x14ac:dyDescent="0.25">
      <c r="E172" s="36"/>
    </row>
    <row r="173" spans="4:9" s="40" customFormat="1" outlineLevel="2" x14ac:dyDescent="0.25"/>
    <row r="174" spans="4:9" outlineLevel="3" x14ac:dyDescent="0.25">
      <c r="E174" s="36"/>
    </row>
    <row r="175" spans="4:9" s="40" customFormat="1" outlineLevel="2" x14ac:dyDescent="0.25"/>
    <row r="176" spans="4:9" outlineLevel="3" x14ac:dyDescent="0.25">
      <c r="D176"/>
      <c r="E176"/>
      <c r="F176"/>
      <c r="H176"/>
      <c r="I176" s="112"/>
    </row>
    <row r="177" spans="4:9" s="39" customFormat="1" outlineLevel="1" x14ac:dyDescent="0.25">
      <c r="D177" s="45"/>
      <c r="E177" s="45"/>
      <c r="F177" s="45"/>
      <c r="H177" s="41"/>
      <c r="I177" s="53"/>
    </row>
    <row r="178" spans="4:9" s="40" customFormat="1" outlineLevel="2" x14ac:dyDescent="0.25">
      <c r="D178" s="46"/>
      <c r="E178" s="46"/>
      <c r="F178" s="46"/>
      <c r="H178" s="43"/>
      <c r="I178" s="54"/>
    </row>
    <row r="179" spans="4:9" outlineLevel="3" x14ac:dyDescent="0.25">
      <c r="E179" s="36"/>
    </row>
    <row r="180" spans="4:9" s="40" customFormat="1" outlineLevel="2" x14ac:dyDescent="0.25">
      <c r="D180" s="46"/>
      <c r="E180" s="46"/>
      <c r="F180" s="46"/>
      <c r="H180" s="43"/>
      <c r="I180" s="54"/>
    </row>
    <row r="181" spans="4:9" outlineLevel="3" x14ac:dyDescent="0.25">
      <c r="D181"/>
      <c r="E181"/>
      <c r="F181"/>
      <c r="H181"/>
      <c r="I181"/>
    </row>
    <row r="182" spans="4:9" s="40" customFormat="1" outlineLevel="2" x14ac:dyDescent="0.25">
      <c r="D182" s="46"/>
      <c r="E182" s="46"/>
      <c r="F182" s="46"/>
      <c r="H182" s="43"/>
      <c r="I182" s="54"/>
    </row>
    <row r="183" spans="4:9" outlineLevel="3" x14ac:dyDescent="0.25">
      <c r="E183" s="36"/>
    </row>
    <row r="184" spans="4:9" s="39" customFormat="1" outlineLevel="1" x14ac:dyDescent="0.25"/>
    <row r="185" spans="4:9" s="40" customFormat="1" outlineLevel="2" x14ac:dyDescent="0.25">
      <c r="D185" s="46"/>
      <c r="E185" s="46"/>
      <c r="F185" s="46"/>
      <c r="H185" s="43"/>
      <c r="I185" s="54"/>
    </row>
    <row r="186" spans="4:9" outlineLevel="3" x14ac:dyDescent="0.25">
      <c r="D186"/>
      <c r="E186"/>
      <c r="F186"/>
      <c r="H186"/>
      <c r="I186"/>
    </row>
    <row r="187" spans="4:9" s="40" customFormat="1" outlineLevel="2" x14ac:dyDescent="0.25">
      <c r="D187" s="46"/>
      <c r="E187" s="46"/>
      <c r="F187" s="46"/>
      <c r="H187" s="43"/>
      <c r="I187" s="54"/>
    </row>
    <row r="188" spans="4:9" outlineLevel="3" x14ac:dyDescent="0.25">
      <c r="D188"/>
      <c r="E188"/>
      <c r="F188"/>
      <c r="H188"/>
      <c r="I188"/>
    </row>
    <row r="189" spans="4:9" s="40" customFormat="1" outlineLevel="2" x14ac:dyDescent="0.25">
      <c r="D189" s="46"/>
      <c r="E189" s="46"/>
      <c r="F189" s="46"/>
      <c r="H189" s="43"/>
      <c r="I189" s="54"/>
    </row>
    <row r="190" spans="4:9" outlineLevel="3" x14ac:dyDescent="0.25">
      <c r="D190"/>
      <c r="E190"/>
      <c r="F190"/>
      <c r="H190"/>
      <c r="I190"/>
    </row>
    <row r="191" spans="4:9" s="40" customFormat="1" outlineLevel="2" x14ac:dyDescent="0.25">
      <c r="D191" s="46"/>
      <c r="E191" s="46"/>
      <c r="F191" s="46"/>
      <c r="H191" s="43"/>
      <c r="I191" s="54"/>
    </row>
    <row r="192" spans="4:9" outlineLevel="3" x14ac:dyDescent="0.25">
      <c r="D192"/>
      <c r="E192"/>
      <c r="F192"/>
      <c r="H192"/>
      <c r="I192"/>
    </row>
    <row r="193" spans="4:9" s="40" customFormat="1" outlineLevel="2" x14ac:dyDescent="0.25">
      <c r="D193" s="46"/>
      <c r="E193" s="46"/>
      <c r="F193" s="46"/>
      <c r="H193" s="43"/>
      <c r="I193" s="54"/>
    </row>
    <row r="194" spans="4:9" outlineLevel="3" x14ac:dyDescent="0.25">
      <c r="D194"/>
      <c r="E194"/>
      <c r="F194"/>
      <c r="H194"/>
      <c r="I194"/>
    </row>
    <row r="195" spans="4:9" s="40" customFormat="1" outlineLevel="2" x14ac:dyDescent="0.25">
      <c r="D195" s="46"/>
      <c r="E195" s="46"/>
      <c r="F195" s="46"/>
      <c r="H195" s="43"/>
      <c r="I195" s="54"/>
    </row>
    <row r="196" spans="4:9" outlineLevel="3" x14ac:dyDescent="0.25">
      <c r="D196"/>
      <c r="E196"/>
      <c r="F196"/>
      <c r="H196"/>
      <c r="I196"/>
    </row>
    <row r="197" spans="4:9" s="40" customFormat="1" outlineLevel="2" x14ac:dyDescent="0.25">
      <c r="D197" s="46"/>
      <c r="E197" s="46"/>
      <c r="F197" s="46"/>
      <c r="H197" s="43"/>
      <c r="I197" s="54"/>
    </row>
    <row r="198" spans="4:9" outlineLevel="3" x14ac:dyDescent="0.25">
      <c r="D198"/>
      <c r="E198"/>
      <c r="F198"/>
      <c r="H198"/>
      <c r="I198" s="107"/>
    </row>
    <row r="199" spans="4:9" s="40" customFormat="1" outlineLevel="2" x14ac:dyDescent="0.25">
      <c r="D199" s="46"/>
      <c r="E199" s="46"/>
      <c r="F199" s="46"/>
      <c r="H199" s="43"/>
      <c r="I199" s="54"/>
    </row>
    <row r="200" spans="4:9" outlineLevel="3" x14ac:dyDescent="0.25">
      <c r="D200"/>
      <c r="E200"/>
      <c r="F200"/>
      <c r="H200"/>
      <c r="I200"/>
    </row>
    <row r="201" spans="4:9" s="40" customFormat="1" outlineLevel="2" x14ac:dyDescent="0.25">
      <c r="D201" s="46"/>
      <c r="E201" s="46"/>
      <c r="F201" s="46"/>
      <c r="H201" s="43"/>
      <c r="I201" s="54"/>
    </row>
    <row r="202" spans="4:9" outlineLevel="3" x14ac:dyDescent="0.25">
      <c r="D202"/>
      <c r="E202"/>
      <c r="F202"/>
      <c r="H202"/>
      <c r="I202"/>
    </row>
    <row r="203" spans="4:9" s="40" customFormat="1" outlineLevel="2" x14ac:dyDescent="0.25">
      <c r="D203" s="46"/>
      <c r="E203" s="46"/>
      <c r="F203" s="46"/>
      <c r="H203" s="43"/>
      <c r="I203" s="54"/>
    </row>
    <row r="204" spans="4:9" outlineLevel="3" x14ac:dyDescent="0.25">
      <c r="D204"/>
      <c r="E204"/>
      <c r="F204"/>
      <c r="H204"/>
      <c r="I204"/>
    </row>
    <row r="205" spans="4:9" s="40" customFormat="1" outlineLevel="2" x14ac:dyDescent="0.25">
      <c r="D205" s="46"/>
      <c r="E205" s="46"/>
      <c r="F205" s="46"/>
      <c r="H205" s="43"/>
      <c r="I205" s="54"/>
    </row>
    <row r="206" spans="4:9" outlineLevel="3" x14ac:dyDescent="0.25">
      <c r="D206"/>
      <c r="E206"/>
      <c r="F206"/>
      <c r="H206"/>
      <c r="I206"/>
    </row>
    <row r="207" spans="4:9" s="40" customFormat="1" outlineLevel="2" x14ac:dyDescent="0.25">
      <c r="D207" s="46"/>
      <c r="E207" s="46"/>
      <c r="F207" s="46"/>
      <c r="H207" s="43"/>
      <c r="I207" s="54"/>
    </row>
    <row r="208" spans="4:9" outlineLevel="3" x14ac:dyDescent="0.25">
      <c r="D208"/>
      <c r="E208"/>
      <c r="F208"/>
      <c r="H208"/>
      <c r="I208" s="107"/>
    </row>
    <row r="209" spans="4:9" s="40" customFormat="1" outlineLevel="2" x14ac:dyDescent="0.25">
      <c r="D209" s="46"/>
      <c r="E209" s="46"/>
      <c r="F209" s="46"/>
      <c r="H209" s="43"/>
      <c r="I209" s="54"/>
    </row>
    <row r="210" spans="4:9" outlineLevel="3" x14ac:dyDescent="0.25">
      <c r="D210"/>
      <c r="E210"/>
      <c r="F210"/>
      <c r="H210"/>
      <c r="I210"/>
    </row>
    <row r="211" spans="4:9" s="40" customFormat="1" outlineLevel="2" x14ac:dyDescent="0.25">
      <c r="D211" s="46"/>
      <c r="E211" s="46"/>
      <c r="F211" s="46"/>
      <c r="H211" s="43"/>
      <c r="I211" s="54"/>
    </row>
    <row r="212" spans="4:9" outlineLevel="3" x14ac:dyDescent="0.25">
      <c r="D212"/>
      <c r="E212"/>
      <c r="F212"/>
      <c r="H212"/>
      <c r="I212"/>
    </row>
    <row r="213" spans="4:9" s="40" customFormat="1" outlineLevel="2" x14ac:dyDescent="0.25">
      <c r="D213" s="46"/>
      <c r="E213" s="46"/>
      <c r="F213" s="46"/>
      <c r="H213" s="43"/>
      <c r="I213" s="54"/>
    </row>
    <row r="214" spans="4:9" outlineLevel="3" x14ac:dyDescent="0.25">
      <c r="D214"/>
      <c r="E214"/>
      <c r="F214"/>
      <c r="H214"/>
      <c r="I214"/>
    </row>
    <row r="215" spans="4:9" s="40" customFormat="1" outlineLevel="2" x14ac:dyDescent="0.25">
      <c r="D215" s="46"/>
      <c r="E215" s="46"/>
      <c r="F215" s="46"/>
      <c r="H215" s="43"/>
      <c r="I215" s="54"/>
    </row>
    <row r="216" spans="4:9" outlineLevel="3" x14ac:dyDescent="0.25">
      <c r="D216"/>
      <c r="E216"/>
      <c r="F216"/>
      <c r="H216"/>
      <c r="I216"/>
    </row>
    <row r="217" spans="4:9" s="40" customFormat="1" outlineLevel="2" x14ac:dyDescent="0.25">
      <c r="D217" s="46"/>
      <c r="E217" s="46"/>
      <c r="F217" s="46"/>
      <c r="H217" s="43"/>
      <c r="I217" s="54"/>
    </row>
    <row r="218" spans="4:9" outlineLevel="3" x14ac:dyDescent="0.25">
      <c r="D218"/>
      <c r="E218"/>
      <c r="F218"/>
      <c r="H218"/>
      <c r="I218"/>
    </row>
    <row r="219" spans="4:9" s="40" customFormat="1" outlineLevel="2" x14ac:dyDescent="0.25">
      <c r="D219" s="46"/>
      <c r="E219" s="46"/>
      <c r="F219" s="46"/>
      <c r="H219" s="43"/>
      <c r="I219" s="54"/>
    </row>
    <row r="220" spans="4:9" outlineLevel="3" x14ac:dyDescent="0.25">
      <c r="D220"/>
      <c r="E220"/>
      <c r="F220"/>
      <c r="H220"/>
      <c r="I220"/>
    </row>
    <row r="221" spans="4:9" s="40" customFormat="1" outlineLevel="2" x14ac:dyDescent="0.25">
      <c r="D221" s="46"/>
      <c r="E221" s="46"/>
      <c r="F221" s="46"/>
      <c r="H221" s="43"/>
      <c r="I221" s="54"/>
    </row>
    <row r="222" spans="4:9" outlineLevel="3" x14ac:dyDescent="0.25">
      <c r="D222"/>
      <c r="E222"/>
      <c r="F222"/>
      <c r="H222"/>
      <c r="I222"/>
    </row>
    <row r="223" spans="4:9" s="40" customFormat="1" outlineLevel="2" x14ac:dyDescent="0.25">
      <c r="D223" s="46"/>
      <c r="E223" s="46"/>
      <c r="F223" s="46"/>
      <c r="H223" s="43"/>
      <c r="I223" s="54"/>
    </row>
    <row r="224" spans="4:9" outlineLevel="3" x14ac:dyDescent="0.25">
      <c r="D224"/>
      <c r="E224"/>
      <c r="F224"/>
      <c r="H224"/>
      <c r="I224"/>
    </row>
    <row r="225" spans="4:9" s="40" customFormat="1" outlineLevel="2" x14ac:dyDescent="0.25">
      <c r="D225" s="46"/>
      <c r="E225" s="46"/>
      <c r="F225" s="46"/>
      <c r="H225" s="43"/>
      <c r="I225" s="54"/>
    </row>
    <row r="226" spans="4:9" outlineLevel="3" x14ac:dyDescent="0.25">
      <c r="D226"/>
      <c r="E226"/>
      <c r="F226"/>
      <c r="H226"/>
      <c r="I226"/>
    </row>
    <row r="227" spans="4:9" s="40" customFormat="1" outlineLevel="2" x14ac:dyDescent="0.25">
      <c r="D227" s="46"/>
      <c r="E227" s="46"/>
      <c r="F227" s="46"/>
      <c r="H227" s="43"/>
      <c r="I227" s="54"/>
    </row>
    <row r="228" spans="4:9" outlineLevel="3" x14ac:dyDescent="0.25">
      <c r="D228"/>
      <c r="E228"/>
      <c r="F228"/>
      <c r="H228"/>
      <c r="I228"/>
    </row>
    <row r="229" spans="4:9" s="40" customFormat="1" outlineLevel="2" x14ac:dyDescent="0.25">
      <c r="D229" s="46"/>
      <c r="E229" s="46"/>
      <c r="F229" s="46"/>
      <c r="H229" s="43"/>
      <c r="I229" s="54"/>
    </row>
    <row r="230" spans="4:9" outlineLevel="3" x14ac:dyDescent="0.25">
      <c r="D230"/>
      <c r="E230"/>
      <c r="F230"/>
      <c r="H230"/>
      <c r="I230"/>
    </row>
    <row r="231" spans="4:9" s="40" customFormat="1" outlineLevel="2" x14ac:dyDescent="0.25">
      <c r="D231" s="46"/>
      <c r="E231" s="46"/>
      <c r="F231" s="46"/>
      <c r="H231" s="43"/>
      <c r="I231" s="54"/>
    </row>
    <row r="232" spans="4:9" outlineLevel="3" x14ac:dyDescent="0.25">
      <c r="D232"/>
      <c r="E232"/>
      <c r="F232"/>
      <c r="H232"/>
      <c r="I232"/>
    </row>
    <row r="233" spans="4:9" s="40" customFormat="1" outlineLevel="2" x14ac:dyDescent="0.25">
      <c r="D233" s="46"/>
      <c r="E233" s="46"/>
      <c r="F233" s="46"/>
      <c r="H233" s="43"/>
      <c r="I233" s="54"/>
    </row>
    <row r="234" spans="4:9" outlineLevel="3" x14ac:dyDescent="0.25">
      <c r="D234"/>
      <c r="E234"/>
      <c r="F234"/>
      <c r="H234"/>
      <c r="I234"/>
    </row>
    <row r="235" spans="4:9" s="40" customFormat="1" outlineLevel="2" x14ac:dyDescent="0.25">
      <c r="D235" s="46"/>
      <c r="E235" s="46"/>
      <c r="F235" s="46"/>
      <c r="H235" s="43"/>
      <c r="I235" s="54"/>
    </row>
    <row r="236" spans="4:9" outlineLevel="3" x14ac:dyDescent="0.25">
      <c r="D236"/>
      <c r="E236"/>
      <c r="F236"/>
      <c r="H236"/>
      <c r="I236"/>
    </row>
    <row r="237" spans="4:9" s="40" customFormat="1" outlineLevel="2" x14ac:dyDescent="0.25">
      <c r="D237" s="46"/>
      <c r="E237" s="46"/>
      <c r="F237" s="46"/>
      <c r="H237" s="43"/>
      <c r="I237" s="54"/>
    </row>
    <row r="238" spans="4:9" outlineLevel="3" x14ac:dyDescent="0.25">
      <c r="D238"/>
      <c r="E238"/>
      <c r="F238"/>
      <c r="H238"/>
      <c r="I238"/>
    </row>
    <row r="239" spans="4:9" s="40" customFormat="1" outlineLevel="2" x14ac:dyDescent="0.25">
      <c r="D239" s="46"/>
      <c r="E239" s="46"/>
      <c r="F239" s="46"/>
      <c r="H239" s="43"/>
      <c r="I239" s="54"/>
    </row>
    <row r="240" spans="4:9" outlineLevel="3" x14ac:dyDescent="0.25">
      <c r="D240"/>
      <c r="E240"/>
      <c r="F240"/>
      <c r="H240"/>
      <c r="I240"/>
    </row>
    <row r="241" spans="4:9" s="40" customFormat="1" outlineLevel="2" x14ac:dyDescent="0.25">
      <c r="D241" s="46"/>
      <c r="E241" s="46"/>
      <c r="F241" s="46"/>
      <c r="H241" s="43"/>
      <c r="I241" s="54"/>
    </row>
    <row r="242" spans="4:9" outlineLevel="3" x14ac:dyDescent="0.25">
      <c r="D242"/>
      <c r="E242"/>
      <c r="F242"/>
      <c r="H242"/>
      <c r="I242"/>
    </row>
    <row r="243" spans="4:9" s="40" customFormat="1" outlineLevel="2" x14ac:dyDescent="0.25">
      <c r="D243" s="46"/>
      <c r="E243" s="46"/>
      <c r="F243" s="46"/>
      <c r="H243" s="43"/>
      <c r="I243" s="54"/>
    </row>
    <row r="244" spans="4:9" outlineLevel="3" x14ac:dyDescent="0.25">
      <c r="D244"/>
      <c r="E244"/>
      <c r="F244"/>
      <c r="H244"/>
      <c r="I244"/>
    </row>
    <row r="245" spans="4:9" s="40" customFormat="1" outlineLevel="2" x14ac:dyDescent="0.25">
      <c r="D245" s="46"/>
      <c r="E245" s="46"/>
      <c r="F245" s="46"/>
      <c r="H245" s="43"/>
      <c r="I245" s="54"/>
    </row>
    <row r="246" spans="4:9" outlineLevel="3" x14ac:dyDescent="0.25">
      <c r="D246"/>
      <c r="E246"/>
      <c r="F246"/>
      <c r="H246"/>
      <c r="I246"/>
    </row>
    <row r="247" spans="4:9" s="40" customFormat="1" outlineLevel="2" x14ac:dyDescent="0.25">
      <c r="D247" s="46"/>
      <c r="E247" s="46"/>
      <c r="F247" s="46"/>
      <c r="H247" s="43"/>
      <c r="I247" s="54"/>
    </row>
    <row r="248" spans="4:9" outlineLevel="3" x14ac:dyDescent="0.25">
      <c r="D248"/>
      <c r="E248"/>
      <c r="F248"/>
      <c r="H248"/>
      <c r="I248"/>
    </row>
    <row r="249" spans="4:9" s="40" customFormat="1" outlineLevel="2" x14ac:dyDescent="0.25">
      <c r="D249" s="46"/>
      <c r="E249" s="46"/>
      <c r="F249" s="46"/>
      <c r="H249" s="43"/>
      <c r="I249" s="54"/>
    </row>
    <row r="250" spans="4:9" outlineLevel="3" x14ac:dyDescent="0.25">
      <c r="D250"/>
      <c r="E250"/>
      <c r="F250"/>
      <c r="H250"/>
      <c r="I250" s="107"/>
    </row>
    <row r="251" spans="4:9" s="40" customFormat="1" outlineLevel="2" x14ac:dyDescent="0.25">
      <c r="D251" s="46"/>
      <c r="E251" s="46"/>
      <c r="F251" s="46"/>
      <c r="H251" s="43"/>
      <c r="I251" s="54"/>
    </row>
    <row r="252" spans="4:9" outlineLevel="3" x14ac:dyDescent="0.25">
      <c r="D252"/>
      <c r="E252"/>
      <c r="F252"/>
      <c r="H252"/>
      <c r="I252"/>
    </row>
    <row r="253" spans="4:9" s="40" customFormat="1" outlineLevel="2" x14ac:dyDescent="0.25">
      <c r="D253" s="46"/>
      <c r="E253" s="46"/>
      <c r="F253" s="46"/>
      <c r="H253" s="43"/>
      <c r="I253" s="54"/>
    </row>
    <row r="254" spans="4:9" outlineLevel="3" x14ac:dyDescent="0.25">
      <c r="D254"/>
      <c r="E254"/>
      <c r="F254"/>
      <c r="H254"/>
      <c r="I254"/>
    </row>
    <row r="255" spans="4:9" s="40" customFormat="1" outlineLevel="2" x14ac:dyDescent="0.25">
      <c r="D255" s="46"/>
      <c r="E255" s="46"/>
      <c r="F255" s="46"/>
      <c r="H255" s="43"/>
      <c r="I255" s="54"/>
    </row>
    <row r="256" spans="4:9" outlineLevel="3" x14ac:dyDescent="0.25">
      <c r="D256"/>
      <c r="E256"/>
      <c r="F256"/>
      <c r="H256"/>
      <c r="I256"/>
    </row>
    <row r="257" spans="4:9" s="40" customFormat="1" outlineLevel="2" x14ac:dyDescent="0.25">
      <c r="D257" s="46"/>
      <c r="E257" s="46"/>
      <c r="F257" s="46"/>
      <c r="H257" s="43"/>
      <c r="I257" s="54"/>
    </row>
    <row r="258" spans="4:9" outlineLevel="3" x14ac:dyDescent="0.25">
      <c r="D258"/>
      <c r="E258"/>
      <c r="F258"/>
      <c r="H258"/>
      <c r="I258"/>
    </row>
    <row r="259" spans="4:9" s="40" customFormat="1" outlineLevel="2" x14ac:dyDescent="0.25">
      <c r="D259" s="46"/>
      <c r="E259" s="46"/>
      <c r="F259" s="46"/>
      <c r="H259" s="43"/>
      <c r="I259" s="54"/>
    </row>
    <row r="260" spans="4:9" outlineLevel="3" x14ac:dyDescent="0.25">
      <c r="D260"/>
      <c r="E260"/>
      <c r="F260"/>
      <c r="H260"/>
      <c r="I260"/>
    </row>
    <row r="261" spans="4:9" s="40" customFormat="1" outlineLevel="2" x14ac:dyDescent="0.25">
      <c r="D261" s="46"/>
      <c r="E261" s="46"/>
      <c r="F261" s="46"/>
      <c r="H261" s="43"/>
      <c r="I261" s="54"/>
    </row>
    <row r="262" spans="4:9" outlineLevel="3" x14ac:dyDescent="0.25">
      <c r="D262"/>
      <c r="E262"/>
      <c r="F262"/>
      <c r="H262"/>
      <c r="I262" s="107"/>
    </row>
    <row r="263" spans="4:9" s="40" customFormat="1" outlineLevel="2" x14ac:dyDescent="0.25">
      <c r="D263" s="46"/>
      <c r="E263" s="46"/>
      <c r="F263" s="46"/>
      <c r="H263" s="43"/>
      <c r="I263" s="54"/>
    </row>
    <row r="264" spans="4:9" outlineLevel="3" x14ac:dyDescent="0.25">
      <c r="D264"/>
      <c r="E264"/>
      <c r="F264"/>
      <c r="H264"/>
      <c r="I264"/>
    </row>
    <row r="265" spans="4:9" s="40" customFormat="1" outlineLevel="2" x14ac:dyDescent="0.25">
      <c r="D265" s="46"/>
      <c r="E265" s="46"/>
      <c r="F265" s="46"/>
      <c r="H265" s="43"/>
      <c r="I265" s="54"/>
    </row>
    <row r="266" spans="4:9" outlineLevel="3" x14ac:dyDescent="0.25">
      <c r="D266"/>
      <c r="E266"/>
      <c r="F266"/>
      <c r="H266"/>
      <c r="I266"/>
    </row>
    <row r="267" spans="4:9" s="40" customFormat="1" outlineLevel="2" x14ac:dyDescent="0.25">
      <c r="D267" s="46"/>
      <c r="E267" s="46"/>
      <c r="F267" s="46"/>
      <c r="H267" s="43"/>
      <c r="I267" s="54"/>
    </row>
    <row r="268" spans="4:9" outlineLevel="3" x14ac:dyDescent="0.25">
      <c r="D268"/>
      <c r="E268"/>
      <c r="F268"/>
      <c r="H268"/>
      <c r="I268"/>
    </row>
    <row r="269" spans="4:9" s="40" customFormat="1" outlineLevel="2" x14ac:dyDescent="0.25">
      <c r="D269" s="46"/>
      <c r="E269" s="46"/>
      <c r="F269" s="46"/>
      <c r="H269" s="43"/>
      <c r="I269" s="54"/>
    </row>
    <row r="270" spans="4:9" outlineLevel="3" x14ac:dyDescent="0.25">
      <c r="D270"/>
      <c r="E270"/>
      <c r="F270"/>
      <c r="H270"/>
      <c r="I270" s="107"/>
    </row>
    <row r="271" spans="4:9" s="40" customFormat="1" outlineLevel="2" x14ac:dyDescent="0.25">
      <c r="D271" s="46"/>
      <c r="E271" s="46"/>
      <c r="F271" s="46"/>
      <c r="H271" s="43"/>
      <c r="I271" s="54"/>
    </row>
    <row r="272" spans="4:9" outlineLevel="3" x14ac:dyDescent="0.25">
      <c r="D272"/>
      <c r="E272"/>
      <c r="F272"/>
      <c r="H272"/>
      <c r="I272"/>
    </row>
    <row r="273" spans="4:9" s="40" customFormat="1" outlineLevel="2" x14ac:dyDescent="0.25">
      <c r="D273" s="46"/>
      <c r="E273" s="46"/>
      <c r="F273" s="46"/>
      <c r="H273" s="43"/>
      <c r="I273" s="54"/>
    </row>
    <row r="274" spans="4:9" outlineLevel="3" x14ac:dyDescent="0.25">
      <c r="D274"/>
      <c r="E274"/>
      <c r="F274"/>
      <c r="H274"/>
      <c r="I274"/>
    </row>
    <row r="275" spans="4:9" s="40" customFormat="1" outlineLevel="2" x14ac:dyDescent="0.25">
      <c r="D275" s="46"/>
      <c r="E275" s="46"/>
      <c r="F275" s="46"/>
      <c r="H275" s="43"/>
      <c r="I275" s="54"/>
    </row>
    <row r="276" spans="4:9" outlineLevel="3" x14ac:dyDescent="0.25">
      <c r="D276"/>
      <c r="E276"/>
      <c r="F276"/>
      <c r="H276"/>
      <c r="I276"/>
    </row>
    <row r="277" spans="4:9" s="40" customFormat="1" outlineLevel="2" x14ac:dyDescent="0.25">
      <c r="D277" s="46"/>
      <c r="E277" s="46"/>
      <c r="F277" s="46"/>
      <c r="H277" s="43"/>
      <c r="I277" s="54"/>
    </row>
    <row r="278" spans="4:9" outlineLevel="3" x14ac:dyDescent="0.25">
      <c r="D278"/>
      <c r="E278"/>
      <c r="F278"/>
      <c r="H278"/>
      <c r="I278" s="107"/>
    </row>
    <row r="279" spans="4:9" s="40" customFormat="1" outlineLevel="2" x14ac:dyDescent="0.25">
      <c r="D279" s="46"/>
      <c r="E279" s="46"/>
      <c r="F279" s="46"/>
      <c r="H279" s="43"/>
      <c r="I279" s="54"/>
    </row>
    <row r="280" spans="4:9" outlineLevel="3" x14ac:dyDescent="0.25">
      <c r="D280"/>
      <c r="E280"/>
      <c r="F280"/>
      <c r="H280"/>
      <c r="I280"/>
    </row>
    <row r="281" spans="4:9" s="40" customFormat="1" outlineLevel="2" x14ac:dyDescent="0.25">
      <c r="D281" s="46"/>
      <c r="E281" s="46"/>
      <c r="F281" s="46"/>
      <c r="H281" s="43"/>
      <c r="I281" s="54"/>
    </row>
    <row r="282" spans="4:9" outlineLevel="3" x14ac:dyDescent="0.25">
      <c r="D282"/>
      <c r="E282"/>
      <c r="F282"/>
      <c r="H282"/>
      <c r="I282"/>
    </row>
    <row r="283" spans="4:9" s="40" customFormat="1" outlineLevel="2" x14ac:dyDescent="0.25">
      <c r="D283" s="46"/>
      <c r="E283" s="46"/>
      <c r="F283" s="46"/>
      <c r="H283" s="43"/>
      <c r="I283" s="54"/>
    </row>
    <row r="284" spans="4:9" outlineLevel="3" x14ac:dyDescent="0.25">
      <c r="D284"/>
      <c r="E284"/>
      <c r="F284"/>
      <c r="H284"/>
      <c r="I284" s="107"/>
    </row>
    <row r="285" spans="4:9" s="40" customFormat="1" outlineLevel="2" x14ac:dyDescent="0.25">
      <c r="D285" s="46"/>
      <c r="E285" s="46"/>
      <c r="F285" s="46"/>
      <c r="H285" s="43"/>
      <c r="I285" s="54"/>
    </row>
    <row r="286" spans="4:9" outlineLevel="3" x14ac:dyDescent="0.25">
      <c r="D286"/>
      <c r="E286"/>
      <c r="F286"/>
      <c r="H286"/>
      <c r="I286"/>
    </row>
    <row r="287" spans="4:9" s="40" customFormat="1" outlineLevel="2" x14ac:dyDescent="0.25">
      <c r="D287" s="46"/>
      <c r="E287" s="46"/>
      <c r="F287" s="46"/>
      <c r="H287" s="43"/>
      <c r="I287" s="54"/>
    </row>
    <row r="288" spans="4:9" outlineLevel="3" x14ac:dyDescent="0.25">
      <c r="D288"/>
      <c r="E288"/>
      <c r="F288"/>
      <c r="H288"/>
      <c r="I288"/>
    </row>
    <row r="289" spans="4:9" s="40" customFormat="1" outlineLevel="2" x14ac:dyDescent="0.25">
      <c r="D289" s="46"/>
      <c r="E289" s="46"/>
      <c r="F289" s="46"/>
      <c r="H289" s="43"/>
      <c r="I289" s="54"/>
    </row>
    <row r="290" spans="4:9" outlineLevel="3" x14ac:dyDescent="0.25">
      <c r="D290"/>
      <c r="E290"/>
      <c r="F290"/>
      <c r="H290"/>
      <c r="I290"/>
    </row>
    <row r="291" spans="4:9" s="40" customFormat="1" outlineLevel="2" x14ac:dyDescent="0.25">
      <c r="D291" s="46"/>
      <c r="E291" s="46"/>
      <c r="F291" s="46"/>
      <c r="H291" s="43"/>
      <c r="I291" s="54"/>
    </row>
    <row r="292" spans="4:9" outlineLevel="3" x14ac:dyDescent="0.25">
      <c r="D292"/>
      <c r="E292"/>
      <c r="F292"/>
      <c r="H292"/>
      <c r="I292"/>
    </row>
    <row r="293" spans="4:9" s="40" customFormat="1" outlineLevel="2" x14ac:dyDescent="0.25">
      <c r="D293" s="46"/>
      <c r="E293" s="46"/>
      <c r="F293" s="46"/>
      <c r="H293" s="43"/>
      <c r="I293" s="54"/>
    </row>
    <row r="294" spans="4:9" outlineLevel="3" x14ac:dyDescent="0.25">
      <c r="D294"/>
      <c r="E294"/>
      <c r="F294"/>
      <c r="H294"/>
      <c r="I294"/>
    </row>
    <row r="295" spans="4:9" s="40" customFormat="1" outlineLevel="2" x14ac:dyDescent="0.25">
      <c r="D295" s="46"/>
      <c r="E295" s="46"/>
      <c r="F295" s="46"/>
      <c r="H295" s="43"/>
      <c r="I295" s="54"/>
    </row>
    <row r="296" spans="4:9" outlineLevel="3" x14ac:dyDescent="0.25">
      <c r="D296"/>
      <c r="E296"/>
      <c r="F296"/>
      <c r="H296"/>
      <c r="I296" s="107"/>
    </row>
    <row r="297" spans="4:9" s="40" customFormat="1" outlineLevel="2" x14ac:dyDescent="0.25">
      <c r="D297" s="46"/>
      <c r="E297" s="46"/>
      <c r="F297" s="46"/>
      <c r="H297" s="43"/>
      <c r="I297" s="54"/>
    </row>
    <row r="298" spans="4:9" outlineLevel="3" x14ac:dyDescent="0.25">
      <c r="D298"/>
      <c r="E298"/>
      <c r="F298"/>
      <c r="H298"/>
      <c r="I298"/>
    </row>
    <row r="299" spans="4:9" s="40" customFormat="1" outlineLevel="2" x14ac:dyDescent="0.25">
      <c r="D299" s="46"/>
      <c r="E299" s="46"/>
      <c r="F299" s="46"/>
      <c r="H299" s="43"/>
      <c r="I299" s="54"/>
    </row>
    <row r="300" spans="4:9" outlineLevel="3" x14ac:dyDescent="0.25">
      <c r="D300"/>
      <c r="E300"/>
      <c r="F300"/>
      <c r="H300"/>
      <c r="I300"/>
    </row>
    <row r="301" spans="4:9" s="40" customFormat="1" outlineLevel="2" x14ac:dyDescent="0.25">
      <c r="D301" s="46"/>
      <c r="E301" s="46"/>
      <c r="F301" s="46"/>
      <c r="H301" s="43"/>
      <c r="I301" s="54"/>
    </row>
    <row r="302" spans="4:9" outlineLevel="3" x14ac:dyDescent="0.25">
      <c r="D302"/>
      <c r="E302"/>
      <c r="F302"/>
      <c r="H302"/>
      <c r="I302"/>
    </row>
    <row r="303" spans="4:9" s="40" customFormat="1" outlineLevel="2" x14ac:dyDescent="0.25">
      <c r="D303" s="46"/>
      <c r="E303" s="46"/>
      <c r="F303" s="46"/>
      <c r="H303" s="43"/>
      <c r="I303" s="54"/>
    </row>
    <row r="304" spans="4:9" outlineLevel="3" x14ac:dyDescent="0.25">
      <c r="D304"/>
      <c r="E304"/>
      <c r="F304"/>
      <c r="H304"/>
      <c r="I304"/>
    </row>
    <row r="305" spans="4:9" s="40" customFormat="1" outlineLevel="2" x14ac:dyDescent="0.25"/>
    <row r="306" spans="4:9" outlineLevel="3" x14ac:dyDescent="0.25">
      <c r="E306" s="36"/>
    </row>
    <row r="307" spans="4:9" s="40" customFormat="1" outlineLevel="2" x14ac:dyDescent="0.25"/>
    <row r="308" spans="4:9" outlineLevel="3" x14ac:dyDescent="0.25">
      <c r="D308"/>
      <c r="E308"/>
      <c r="F308"/>
      <c r="H308"/>
      <c r="I308"/>
    </row>
    <row r="309" spans="4:9" s="40" customFormat="1" outlineLevel="2" x14ac:dyDescent="0.25">
      <c r="D309" s="46"/>
      <c r="E309" s="46"/>
      <c r="F309" s="46"/>
      <c r="H309" s="43"/>
      <c r="I309" s="54"/>
    </row>
    <row r="310" spans="4:9" outlineLevel="3" x14ac:dyDescent="0.25">
      <c r="D310"/>
      <c r="E310"/>
      <c r="F310"/>
      <c r="H310"/>
      <c r="I310"/>
    </row>
    <row r="311" spans="4:9" s="40" customFormat="1" outlineLevel="2" x14ac:dyDescent="0.25">
      <c r="D311" s="46"/>
      <c r="E311" s="46"/>
      <c r="F311" s="46"/>
      <c r="H311" s="43"/>
      <c r="I311" s="54"/>
    </row>
    <row r="312" spans="4:9" outlineLevel="3" x14ac:dyDescent="0.25">
      <c r="D312"/>
      <c r="E312"/>
      <c r="F312"/>
      <c r="H312"/>
      <c r="I312"/>
    </row>
    <row r="313" spans="4:9" s="40" customFormat="1" outlineLevel="2" x14ac:dyDescent="0.25">
      <c r="D313" s="46"/>
      <c r="E313" s="46"/>
      <c r="F313" s="46"/>
      <c r="H313" s="43"/>
      <c r="I313" s="54"/>
    </row>
    <row r="314" spans="4:9" outlineLevel="3" x14ac:dyDescent="0.25">
      <c r="D314"/>
      <c r="E314"/>
      <c r="F314"/>
      <c r="H314"/>
      <c r="I314" s="107"/>
    </row>
    <row r="315" spans="4:9" s="40" customFormat="1" outlineLevel="2" x14ac:dyDescent="0.25">
      <c r="D315" s="46"/>
      <c r="E315" s="46"/>
      <c r="F315" s="46"/>
      <c r="H315" s="43"/>
      <c r="I315" s="54"/>
    </row>
    <row r="316" spans="4:9" outlineLevel="3" x14ac:dyDescent="0.25">
      <c r="D316"/>
      <c r="E316"/>
      <c r="F316"/>
      <c r="H316"/>
      <c r="I316"/>
    </row>
    <row r="317" spans="4:9" s="39" customFormat="1" outlineLevel="1" x14ac:dyDescent="0.25"/>
    <row r="318" spans="4:9" s="40" customFormat="1" outlineLevel="2" x14ac:dyDescent="0.25">
      <c r="D318" s="46"/>
      <c r="E318" s="46"/>
      <c r="F318" s="46"/>
      <c r="H318" s="43"/>
      <c r="I318" s="54"/>
    </row>
    <row r="319" spans="4:9" outlineLevel="3" x14ac:dyDescent="0.25">
      <c r="D319"/>
      <c r="E319"/>
      <c r="F319"/>
      <c r="H319"/>
      <c r="I319"/>
    </row>
    <row r="320" spans="4:9" s="40" customFormat="1" outlineLevel="2" x14ac:dyDescent="0.25">
      <c r="D320" s="46"/>
      <c r="E320" s="46"/>
      <c r="F320" s="46"/>
      <c r="H320" s="43"/>
      <c r="I320" s="54"/>
    </row>
    <row r="321" spans="4:9" outlineLevel="3" x14ac:dyDescent="0.25">
      <c r="D321"/>
      <c r="E321"/>
      <c r="F321"/>
      <c r="H321"/>
      <c r="I321"/>
    </row>
    <row r="322" spans="4:9" s="40" customFormat="1" outlineLevel="2" x14ac:dyDescent="0.25">
      <c r="D322" s="46"/>
      <c r="E322" s="46"/>
      <c r="F322" s="46"/>
      <c r="H322" s="43"/>
      <c r="I322" s="54"/>
    </row>
    <row r="323" spans="4:9" outlineLevel="3" x14ac:dyDescent="0.25">
      <c r="D323"/>
      <c r="E323"/>
      <c r="F323"/>
      <c r="H323"/>
      <c r="I323"/>
    </row>
    <row r="324" spans="4:9" s="40" customFormat="1" outlineLevel="2" x14ac:dyDescent="0.25">
      <c r="D324" s="46"/>
      <c r="E324" s="46"/>
      <c r="F324" s="46"/>
      <c r="H324" s="43"/>
      <c r="I324" s="54"/>
    </row>
    <row r="325" spans="4:9" outlineLevel="3" x14ac:dyDescent="0.25">
      <c r="D325"/>
      <c r="E325"/>
      <c r="F325"/>
      <c r="H325"/>
      <c r="I325"/>
    </row>
    <row r="326" spans="4:9" s="39" customFormat="1" outlineLevel="1" x14ac:dyDescent="0.25">
      <c r="D326" s="45"/>
      <c r="E326" s="45"/>
      <c r="F326" s="45"/>
      <c r="H326" s="41"/>
      <c r="I326" s="53"/>
    </row>
    <row r="327" spans="4:9" s="40" customFormat="1" outlineLevel="2" x14ac:dyDescent="0.25">
      <c r="I327" s="108"/>
    </row>
    <row r="328" spans="4:9" outlineLevel="3" x14ac:dyDescent="0.25">
      <c r="E328" s="36"/>
    </row>
    <row r="329" spans="4:9" s="40" customFormat="1" outlineLevel="2" x14ac:dyDescent="0.25"/>
    <row r="330" spans="4:9" outlineLevel="3" x14ac:dyDescent="0.25">
      <c r="E330" s="36"/>
    </row>
    <row r="331" spans="4:9" s="40" customFormat="1" outlineLevel="2" x14ac:dyDescent="0.25"/>
    <row r="332" spans="4:9" outlineLevel="3" x14ac:dyDescent="0.25">
      <c r="E332" s="36"/>
    </row>
    <row r="333" spans="4:9" s="40" customFormat="1" outlineLevel="2" x14ac:dyDescent="0.25"/>
    <row r="334" spans="4:9" outlineLevel="3" x14ac:dyDescent="0.25">
      <c r="E334" s="36"/>
    </row>
    <row r="335" spans="4:9" s="40" customFormat="1" outlineLevel="2" x14ac:dyDescent="0.25"/>
    <row r="336" spans="4:9" outlineLevel="3" x14ac:dyDescent="0.25">
      <c r="E336" s="36"/>
    </row>
    <row r="337" spans="5:9" s="40" customFormat="1" outlineLevel="2" x14ac:dyDescent="0.25">
      <c r="I337" s="108"/>
    </row>
    <row r="338" spans="5:9" outlineLevel="3" x14ac:dyDescent="0.25">
      <c r="E338" s="36"/>
    </row>
    <row r="339" spans="5:9" s="40" customFormat="1" outlineLevel="2" x14ac:dyDescent="0.25"/>
    <row r="340" spans="5:9" outlineLevel="3" x14ac:dyDescent="0.25">
      <c r="E340" s="36"/>
    </row>
    <row r="341" spans="5:9" s="40" customFormat="1" outlineLevel="2" x14ac:dyDescent="0.25"/>
    <row r="342" spans="5:9" outlineLevel="3" x14ac:dyDescent="0.25">
      <c r="E342" s="36"/>
    </row>
    <row r="343" spans="5:9" s="40" customFormat="1" outlineLevel="2" x14ac:dyDescent="0.25"/>
    <row r="344" spans="5:9" outlineLevel="3" x14ac:dyDescent="0.25">
      <c r="E344" s="36"/>
    </row>
    <row r="345" spans="5:9" s="40" customFormat="1" outlineLevel="2" x14ac:dyDescent="0.25"/>
    <row r="346" spans="5:9" outlineLevel="3" x14ac:dyDescent="0.25">
      <c r="E346" s="36"/>
    </row>
    <row r="347" spans="5:9" s="40" customFormat="1" outlineLevel="2" x14ac:dyDescent="0.25"/>
    <row r="348" spans="5:9" outlineLevel="3" x14ac:dyDescent="0.25">
      <c r="E348" s="36"/>
    </row>
    <row r="349" spans="5:9" s="40" customFormat="1" outlineLevel="2" x14ac:dyDescent="0.25"/>
    <row r="350" spans="5:9" outlineLevel="3" x14ac:dyDescent="0.25">
      <c r="E350" s="36"/>
    </row>
    <row r="351" spans="5:9" s="40" customFormat="1" outlineLevel="2" x14ac:dyDescent="0.25"/>
    <row r="352" spans="5:9" outlineLevel="3" x14ac:dyDescent="0.25">
      <c r="E352" s="36"/>
    </row>
    <row r="353" spans="5:9" s="40" customFormat="1" outlineLevel="2" x14ac:dyDescent="0.25"/>
    <row r="354" spans="5:9" outlineLevel="3" x14ac:dyDescent="0.25">
      <c r="E354" s="36"/>
    </row>
    <row r="355" spans="5:9" s="40" customFormat="1" outlineLevel="2" x14ac:dyDescent="0.25"/>
    <row r="356" spans="5:9" outlineLevel="3" x14ac:dyDescent="0.25">
      <c r="E356" s="36"/>
    </row>
    <row r="357" spans="5:9" s="40" customFormat="1" outlineLevel="2" x14ac:dyDescent="0.25"/>
    <row r="358" spans="5:9" outlineLevel="3" x14ac:dyDescent="0.25">
      <c r="E358" s="36"/>
    </row>
    <row r="359" spans="5:9" s="40" customFormat="1" outlineLevel="2" x14ac:dyDescent="0.25"/>
    <row r="360" spans="5:9" outlineLevel="3" x14ac:dyDescent="0.25">
      <c r="E360" s="36"/>
    </row>
    <row r="361" spans="5:9" s="40" customFormat="1" outlineLevel="2" x14ac:dyDescent="0.25">
      <c r="I361" s="108"/>
    </row>
    <row r="362" spans="5:9" outlineLevel="3" x14ac:dyDescent="0.25">
      <c r="E362" s="36"/>
    </row>
    <row r="363" spans="5:9" s="40" customFormat="1" outlineLevel="2" x14ac:dyDescent="0.25"/>
    <row r="364" spans="5:9" outlineLevel="3" x14ac:dyDescent="0.25">
      <c r="E364" s="36"/>
    </row>
    <row r="365" spans="5:9" s="40" customFormat="1" outlineLevel="2" x14ac:dyDescent="0.25"/>
    <row r="366" spans="5:9" outlineLevel="3" x14ac:dyDescent="0.25">
      <c r="E366" s="36"/>
    </row>
    <row r="367" spans="5:9" s="40" customFormat="1" outlineLevel="2" x14ac:dyDescent="0.25"/>
    <row r="368" spans="5:9" outlineLevel="3" x14ac:dyDescent="0.25">
      <c r="E368" s="36"/>
    </row>
    <row r="369" spans="5:9" s="40" customFormat="1" outlineLevel="2" x14ac:dyDescent="0.25"/>
    <row r="370" spans="5:9" outlineLevel="3" x14ac:dyDescent="0.25">
      <c r="E370" s="36"/>
    </row>
    <row r="371" spans="5:9" s="40" customFormat="1" outlineLevel="2" x14ac:dyDescent="0.25"/>
    <row r="372" spans="5:9" outlineLevel="3" x14ac:dyDescent="0.25">
      <c r="E372" s="36"/>
    </row>
    <row r="373" spans="5:9" s="40" customFormat="1" outlineLevel="2" x14ac:dyDescent="0.25"/>
    <row r="374" spans="5:9" outlineLevel="3" x14ac:dyDescent="0.25">
      <c r="E374" s="36"/>
    </row>
    <row r="375" spans="5:9" s="40" customFormat="1" outlineLevel="2" x14ac:dyDescent="0.25"/>
    <row r="376" spans="5:9" outlineLevel="3" x14ac:dyDescent="0.25">
      <c r="E376" s="36"/>
    </row>
    <row r="377" spans="5:9" s="40" customFormat="1" outlineLevel="2" x14ac:dyDescent="0.25">
      <c r="I377" s="108"/>
    </row>
    <row r="378" spans="5:9" outlineLevel="3" x14ac:dyDescent="0.25">
      <c r="E378" s="36"/>
    </row>
    <row r="379" spans="5:9" s="40" customFormat="1" outlineLevel="2" x14ac:dyDescent="0.25"/>
    <row r="380" spans="5:9" outlineLevel="3" x14ac:dyDescent="0.25">
      <c r="E380" s="36"/>
    </row>
    <row r="381" spans="5:9" s="40" customFormat="1" outlineLevel="2" x14ac:dyDescent="0.25"/>
    <row r="382" spans="5:9" outlineLevel="3" x14ac:dyDescent="0.25">
      <c r="E382" s="36"/>
    </row>
    <row r="383" spans="5:9" s="40" customFormat="1" outlineLevel="2" x14ac:dyDescent="0.25"/>
    <row r="384" spans="5:9" outlineLevel="3" x14ac:dyDescent="0.25">
      <c r="E384" s="36"/>
    </row>
    <row r="385" spans="5:5" s="40" customFormat="1" outlineLevel="2" x14ac:dyDescent="0.25"/>
    <row r="386" spans="5:5" outlineLevel="3" x14ac:dyDescent="0.25">
      <c r="E386" s="36"/>
    </row>
    <row r="387" spans="5:5" s="40" customFormat="1" outlineLevel="2" x14ac:dyDescent="0.25"/>
    <row r="388" spans="5:5" outlineLevel="3" x14ac:dyDescent="0.25">
      <c r="E388" s="36"/>
    </row>
    <row r="389" spans="5:5" s="40" customFormat="1" outlineLevel="2" x14ac:dyDescent="0.25"/>
    <row r="390" spans="5:5" outlineLevel="3" x14ac:dyDescent="0.25">
      <c r="E390" s="36"/>
    </row>
    <row r="391" spans="5:5" s="40" customFormat="1" outlineLevel="2" x14ac:dyDescent="0.25"/>
    <row r="392" spans="5:5" outlineLevel="3" x14ac:dyDescent="0.25">
      <c r="E392" s="36"/>
    </row>
    <row r="393" spans="5:5" s="40" customFormat="1" outlineLevel="2" x14ac:dyDescent="0.25"/>
    <row r="394" spans="5:5" outlineLevel="3" x14ac:dyDescent="0.25">
      <c r="E394" s="36"/>
    </row>
    <row r="395" spans="5:5" s="40" customFormat="1" outlineLevel="2" x14ac:dyDescent="0.25"/>
    <row r="396" spans="5:5" outlineLevel="3" x14ac:dyDescent="0.25">
      <c r="E396" s="36"/>
    </row>
    <row r="397" spans="5:5" s="40" customFormat="1" outlineLevel="2" x14ac:dyDescent="0.25"/>
    <row r="398" spans="5:5" outlineLevel="3" x14ac:dyDescent="0.25">
      <c r="E398" s="36"/>
    </row>
    <row r="399" spans="5:5" s="40" customFormat="1" outlineLevel="2" x14ac:dyDescent="0.25"/>
    <row r="400" spans="5:5" outlineLevel="3" x14ac:dyDescent="0.25">
      <c r="E400" s="36"/>
    </row>
    <row r="401" spans="4:9" s="40" customFormat="1" outlineLevel="2" x14ac:dyDescent="0.25"/>
    <row r="402" spans="4:9" outlineLevel="3" x14ac:dyDescent="0.25">
      <c r="E402" s="36"/>
    </row>
    <row r="403" spans="4:9" s="40" customFormat="1" outlineLevel="2" x14ac:dyDescent="0.25"/>
    <row r="404" spans="4:9" outlineLevel="3" x14ac:dyDescent="0.25">
      <c r="E404" s="36"/>
    </row>
    <row r="405" spans="4:9" s="40" customFormat="1" outlineLevel="2" x14ac:dyDescent="0.25"/>
    <row r="406" spans="4:9" outlineLevel="3" x14ac:dyDescent="0.25">
      <c r="E406" s="36"/>
    </row>
    <row r="407" spans="4:9" s="40" customFormat="1" outlineLevel="2" x14ac:dyDescent="0.25"/>
    <row r="408" spans="4:9" outlineLevel="3" x14ac:dyDescent="0.25">
      <c r="E408" s="36"/>
    </row>
    <row r="409" spans="4:9" s="40" customFormat="1" outlineLevel="2" x14ac:dyDescent="0.25"/>
    <row r="410" spans="4:9" outlineLevel="3" x14ac:dyDescent="0.25">
      <c r="E410" s="36"/>
    </row>
    <row r="411" spans="4:9" s="40" customFormat="1" outlineLevel="2" x14ac:dyDescent="0.25"/>
    <row r="412" spans="4:9" outlineLevel="3" x14ac:dyDescent="0.25">
      <c r="D412"/>
      <c r="E412"/>
      <c r="F412"/>
      <c r="H412"/>
      <c r="I412"/>
    </row>
    <row r="413" spans="4:9" s="40" customFormat="1" outlineLevel="2" x14ac:dyDescent="0.25">
      <c r="D413" s="46"/>
      <c r="E413" s="46"/>
      <c r="F413" s="46"/>
      <c r="H413" s="43"/>
      <c r="I413" s="54"/>
    </row>
    <row r="414" spans="4:9" outlineLevel="3" x14ac:dyDescent="0.25">
      <c r="D414"/>
      <c r="E414"/>
      <c r="F414"/>
      <c r="H414"/>
      <c r="I414"/>
    </row>
    <row r="415" spans="4:9" s="40" customFormat="1" outlineLevel="2" x14ac:dyDescent="0.25">
      <c r="D415" s="46"/>
      <c r="E415" s="46"/>
      <c r="F415" s="46"/>
      <c r="H415" s="43"/>
      <c r="I415" s="54"/>
    </row>
    <row r="416" spans="4:9" outlineLevel="3" x14ac:dyDescent="0.25">
      <c r="D416"/>
      <c r="E416"/>
      <c r="F416"/>
      <c r="H416"/>
      <c r="I416"/>
    </row>
    <row r="417" spans="4:9" s="40" customFormat="1" outlineLevel="2" x14ac:dyDescent="0.25">
      <c r="D417" s="46"/>
      <c r="E417" s="46"/>
      <c r="F417" s="46"/>
      <c r="H417" s="43"/>
      <c r="I417" s="54"/>
    </row>
    <row r="418" spans="4:9" outlineLevel="3" x14ac:dyDescent="0.25">
      <c r="D418"/>
      <c r="E418"/>
      <c r="F418"/>
      <c r="H418"/>
      <c r="I418"/>
    </row>
    <row r="419" spans="4:9" s="40" customFormat="1" outlineLevel="2" x14ac:dyDescent="0.25"/>
    <row r="420" spans="4:9" outlineLevel="3" x14ac:dyDescent="0.25">
      <c r="E420" s="36"/>
    </row>
    <row r="421" spans="4:9" s="39" customFormat="1" outlineLevel="1" x14ac:dyDescent="0.25"/>
    <row r="422" spans="4:9" s="40" customFormat="1" outlineLevel="2" x14ac:dyDescent="0.25">
      <c r="D422" s="46"/>
      <c r="E422" s="46"/>
      <c r="F422" s="46"/>
      <c r="H422" s="43"/>
      <c r="I422" s="54"/>
    </row>
    <row r="423" spans="4:9" outlineLevel="3" x14ac:dyDescent="0.25">
      <c r="D423"/>
      <c r="E423"/>
      <c r="F423"/>
      <c r="H423"/>
      <c r="I423"/>
    </row>
    <row r="424" spans="4:9" s="40" customFormat="1" outlineLevel="2" x14ac:dyDescent="0.25">
      <c r="D424" s="46"/>
      <c r="E424" s="46"/>
      <c r="F424" s="46"/>
      <c r="H424" s="43"/>
      <c r="I424" s="54"/>
    </row>
    <row r="425" spans="4:9" outlineLevel="3" x14ac:dyDescent="0.25">
      <c r="D425"/>
      <c r="E425"/>
      <c r="F425"/>
      <c r="H425"/>
      <c r="I425"/>
    </row>
    <row r="426" spans="4:9" s="40" customFormat="1" outlineLevel="2" x14ac:dyDescent="0.25">
      <c r="D426" s="46"/>
      <c r="E426" s="46"/>
      <c r="F426" s="46"/>
      <c r="H426" s="43"/>
      <c r="I426" s="54"/>
    </row>
    <row r="427" spans="4:9" outlineLevel="3" x14ac:dyDescent="0.25">
      <c r="D427"/>
      <c r="E427"/>
      <c r="F427"/>
      <c r="H427"/>
      <c r="I427"/>
    </row>
    <row r="428" spans="4:9" s="39" customFormat="1" outlineLevel="1" x14ac:dyDescent="0.25">
      <c r="D428" s="45"/>
      <c r="E428" s="45"/>
      <c r="F428" s="45"/>
      <c r="H428" s="41"/>
      <c r="I428" s="53"/>
    </row>
    <row r="429" spans="4:9" s="40" customFormat="1" outlineLevel="2" x14ac:dyDescent="0.25"/>
    <row r="430" spans="4:9" outlineLevel="3" x14ac:dyDescent="0.25">
      <c r="E430" s="36"/>
    </row>
    <row r="431" spans="4:9" s="40" customFormat="1" outlineLevel="2" x14ac:dyDescent="0.25"/>
    <row r="432" spans="4:9" outlineLevel="3" x14ac:dyDescent="0.25">
      <c r="E432" s="36"/>
    </row>
    <row r="433" spans="5:9" s="40" customFormat="1" outlineLevel="2" x14ac:dyDescent="0.25"/>
    <row r="434" spans="5:9" outlineLevel="3" x14ac:dyDescent="0.25">
      <c r="E434" s="36"/>
    </row>
    <row r="435" spans="5:9" s="40" customFormat="1" outlineLevel="2" x14ac:dyDescent="0.25">
      <c r="I435" s="108"/>
    </row>
    <row r="436" spans="5:9" outlineLevel="3" x14ac:dyDescent="0.25">
      <c r="E436" s="36"/>
    </row>
    <row r="437" spans="5:9" s="40" customFormat="1" outlineLevel="2" x14ac:dyDescent="0.25"/>
    <row r="438" spans="5:9" outlineLevel="3" x14ac:dyDescent="0.25">
      <c r="E438" s="36"/>
    </row>
    <row r="439" spans="5:9" s="40" customFormat="1" outlineLevel="2" x14ac:dyDescent="0.25"/>
    <row r="440" spans="5:9" outlineLevel="3" x14ac:dyDescent="0.25">
      <c r="E440" s="36"/>
    </row>
    <row r="441" spans="5:9" s="40" customFormat="1" outlineLevel="2" x14ac:dyDescent="0.25"/>
    <row r="442" spans="5:9" outlineLevel="3" x14ac:dyDescent="0.25">
      <c r="E442" s="36"/>
    </row>
    <row r="443" spans="5:9" s="40" customFormat="1" outlineLevel="2" x14ac:dyDescent="0.25"/>
    <row r="444" spans="5:9" outlineLevel="3" x14ac:dyDescent="0.25">
      <c r="E444" s="36"/>
    </row>
    <row r="445" spans="5:9" s="40" customFormat="1" outlineLevel="2" x14ac:dyDescent="0.25"/>
    <row r="446" spans="5:9" outlineLevel="3" x14ac:dyDescent="0.25">
      <c r="E446" s="36"/>
    </row>
    <row r="447" spans="5:9" s="40" customFormat="1" outlineLevel="2" x14ac:dyDescent="0.25"/>
    <row r="448" spans="5:9" outlineLevel="3" x14ac:dyDescent="0.25">
      <c r="E448" s="36"/>
    </row>
    <row r="449" spans="5:9" s="40" customFormat="1" outlineLevel="2" x14ac:dyDescent="0.25"/>
    <row r="450" spans="5:9" outlineLevel="3" x14ac:dyDescent="0.25">
      <c r="E450" s="36"/>
    </row>
    <row r="451" spans="5:9" s="40" customFormat="1" outlineLevel="2" x14ac:dyDescent="0.25">
      <c r="I451" s="108"/>
    </row>
    <row r="452" spans="5:9" outlineLevel="3" x14ac:dyDescent="0.25">
      <c r="E452" s="36"/>
    </row>
    <row r="453" spans="5:9" s="40" customFormat="1" outlineLevel="2" x14ac:dyDescent="0.25"/>
    <row r="454" spans="5:9" outlineLevel="3" x14ac:dyDescent="0.25">
      <c r="E454" s="36"/>
    </row>
    <row r="455" spans="5:9" s="40" customFormat="1" outlineLevel="2" x14ac:dyDescent="0.25">
      <c r="I455" s="108"/>
    </row>
    <row r="456" spans="5:9" outlineLevel="3" x14ac:dyDescent="0.25">
      <c r="E456" s="36"/>
    </row>
    <row r="457" spans="5:9" s="40" customFormat="1" outlineLevel="2" x14ac:dyDescent="0.25"/>
    <row r="458" spans="5:9" outlineLevel="3" x14ac:dyDescent="0.25">
      <c r="E458" s="36"/>
    </row>
    <row r="459" spans="5:9" s="40" customFormat="1" outlineLevel="2" x14ac:dyDescent="0.25"/>
    <row r="460" spans="5:9" outlineLevel="3" x14ac:dyDescent="0.25">
      <c r="E460" s="36"/>
    </row>
    <row r="461" spans="5:9" s="40" customFormat="1" outlineLevel="2" x14ac:dyDescent="0.25"/>
    <row r="462" spans="5:9" outlineLevel="3" x14ac:dyDescent="0.25">
      <c r="E462" s="36"/>
    </row>
    <row r="463" spans="5:9" s="40" customFormat="1" outlineLevel="2" x14ac:dyDescent="0.25"/>
    <row r="464" spans="5:9" outlineLevel="3" x14ac:dyDescent="0.25">
      <c r="E464" s="36"/>
    </row>
    <row r="465" spans="5:5" s="40" customFormat="1" outlineLevel="2" x14ac:dyDescent="0.25"/>
    <row r="466" spans="5:5" outlineLevel="3" x14ac:dyDescent="0.25">
      <c r="E466" s="36"/>
    </row>
    <row r="467" spans="5:5" s="40" customFormat="1" outlineLevel="2" x14ac:dyDescent="0.25"/>
    <row r="468" spans="5:5" outlineLevel="3" x14ac:dyDescent="0.25">
      <c r="E468" s="36"/>
    </row>
    <row r="469" spans="5:5" s="40" customFormat="1" outlineLevel="2" x14ac:dyDescent="0.25"/>
    <row r="470" spans="5:5" outlineLevel="3" x14ac:dyDescent="0.25">
      <c r="E470" s="36"/>
    </row>
    <row r="471" spans="5:5" s="40" customFormat="1" outlineLevel="2" x14ac:dyDescent="0.25"/>
    <row r="472" spans="5:5" outlineLevel="3" x14ac:dyDescent="0.25">
      <c r="E472" s="36"/>
    </row>
    <row r="473" spans="5:5" s="40" customFormat="1" outlineLevel="2" x14ac:dyDescent="0.25"/>
    <row r="474" spans="5:5" outlineLevel="3" x14ac:dyDescent="0.25">
      <c r="E474" s="36"/>
    </row>
    <row r="475" spans="5:5" s="40" customFormat="1" outlineLevel="2" x14ac:dyDescent="0.25"/>
    <row r="476" spans="5:5" outlineLevel="3" x14ac:dyDescent="0.25">
      <c r="E476" s="36"/>
    </row>
    <row r="477" spans="5:5" s="40" customFormat="1" outlineLevel="2" x14ac:dyDescent="0.25"/>
    <row r="478" spans="5:5" outlineLevel="3" x14ac:dyDescent="0.25">
      <c r="E478" s="36"/>
    </row>
    <row r="479" spans="5:5" s="40" customFormat="1" outlineLevel="2" x14ac:dyDescent="0.25"/>
    <row r="480" spans="5:5" outlineLevel="3" x14ac:dyDescent="0.25">
      <c r="E480" s="36"/>
    </row>
    <row r="481" spans="5:5" s="40" customFormat="1" outlineLevel="2" x14ac:dyDescent="0.25"/>
    <row r="482" spans="5:5" outlineLevel="3" x14ac:dyDescent="0.25">
      <c r="E482" s="36"/>
    </row>
    <row r="483" spans="5:5" s="40" customFormat="1" outlineLevel="2" x14ac:dyDescent="0.25"/>
    <row r="484" spans="5:5" outlineLevel="3" x14ac:dyDescent="0.25">
      <c r="E484" s="36"/>
    </row>
    <row r="485" spans="5:5" s="40" customFormat="1" outlineLevel="2" x14ac:dyDescent="0.25"/>
    <row r="486" spans="5:5" outlineLevel="3" x14ac:dyDescent="0.25">
      <c r="E486" s="36"/>
    </row>
    <row r="487" spans="5:5" s="40" customFormat="1" outlineLevel="2" x14ac:dyDescent="0.25"/>
    <row r="488" spans="5:5" outlineLevel="3" x14ac:dyDescent="0.25">
      <c r="E488" s="36"/>
    </row>
    <row r="489" spans="5:5" s="40" customFormat="1" outlineLevel="2" x14ac:dyDescent="0.25"/>
    <row r="490" spans="5:5" outlineLevel="3" x14ac:dyDescent="0.25">
      <c r="E490" s="36"/>
    </row>
    <row r="491" spans="5:5" s="40" customFormat="1" outlineLevel="2" x14ac:dyDescent="0.25"/>
    <row r="492" spans="5:5" outlineLevel="3" x14ac:dyDescent="0.25">
      <c r="E492" s="36"/>
    </row>
    <row r="493" spans="5:5" s="40" customFormat="1" outlineLevel="2" x14ac:dyDescent="0.25"/>
    <row r="494" spans="5:5" outlineLevel="3" x14ac:dyDescent="0.25">
      <c r="E494" s="36"/>
    </row>
    <row r="495" spans="5:5" s="40" customFormat="1" outlineLevel="2" x14ac:dyDescent="0.25"/>
    <row r="496" spans="5:5" outlineLevel="3" x14ac:dyDescent="0.25">
      <c r="E496" s="36"/>
    </row>
    <row r="497" spans="4:9" s="40" customFormat="1" outlineLevel="2" x14ac:dyDescent="0.25"/>
    <row r="498" spans="4:9" outlineLevel="3" x14ac:dyDescent="0.25">
      <c r="E498" s="36"/>
    </row>
    <row r="499" spans="4:9" s="40" customFormat="1" outlineLevel="2" x14ac:dyDescent="0.25"/>
    <row r="500" spans="4:9" outlineLevel="3" x14ac:dyDescent="0.25">
      <c r="E500" s="36"/>
    </row>
    <row r="501" spans="4:9" s="40" customFormat="1" outlineLevel="2" x14ac:dyDescent="0.25"/>
    <row r="502" spans="4:9" outlineLevel="3" x14ac:dyDescent="0.25">
      <c r="E502" s="36"/>
    </row>
    <row r="503" spans="4:9" s="40" customFormat="1" outlineLevel="2" x14ac:dyDescent="0.25"/>
    <row r="504" spans="4:9" outlineLevel="3" x14ac:dyDescent="0.25">
      <c r="E504" s="36"/>
    </row>
    <row r="505" spans="4:9" s="40" customFormat="1" outlineLevel="2" x14ac:dyDescent="0.25"/>
    <row r="506" spans="4:9" outlineLevel="3" x14ac:dyDescent="0.25">
      <c r="E506" s="36"/>
    </row>
    <row r="507" spans="4:9" s="40" customFormat="1" outlineLevel="2" x14ac:dyDescent="0.25"/>
    <row r="508" spans="4:9" outlineLevel="3" x14ac:dyDescent="0.25">
      <c r="E508" s="36"/>
    </row>
    <row r="509" spans="4:9" s="40" customFormat="1" outlineLevel="2" x14ac:dyDescent="0.25"/>
    <row r="510" spans="4:9" outlineLevel="3" x14ac:dyDescent="0.25">
      <c r="E510" s="36"/>
    </row>
    <row r="511" spans="4:9" s="40" customFormat="1" outlineLevel="2" x14ac:dyDescent="0.25"/>
    <row r="512" spans="4:9" outlineLevel="3" x14ac:dyDescent="0.25">
      <c r="D512"/>
      <c r="E512"/>
      <c r="F512"/>
      <c r="H512"/>
      <c r="I512"/>
    </row>
    <row r="513" spans="4:9" s="40" customFormat="1" outlineLevel="2" x14ac:dyDescent="0.25">
      <c r="D513" s="46"/>
      <c r="E513" s="46"/>
      <c r="F513" s="46"/>
      <c r="H513" s="43"/>
      <c r="I513" s="54"/>
    </row>
    <row r="514" spans="4:9" outlineLevel="3" x14ac:dyDescent="0.25">
      <c r="D514"/>
      <c r="E514"/>
      <c r="F514"/>
      <c r="H514"/>
      <c r="I514"/>
    </row>
    <row r="515" spans="4:9" s="40" customFormat="1" outlineLevel="2" x14ac:dyDescent="0.25">
      <c r="D515" s="46"/>
      <c r="E515" s="46"/>
      <c r="F515" s="46"/>
      <c r="H515" s="43"/>
      <c r="I515" s="54"/>
    </row>
    <row r="516" spans="4:9" outlineLevel="3" x14ac:dyDescent="0.25">
      <c r="D516"/>
      <c r="E516"/>
      <c r="F516"/>
      <c r="H516"/>
      <c r="I516"/>
    </row>
    <row r="517" spans="4:9" s="40" customFormat="1" outlineLevel="2" x14ac:dyDescent="0.25">
      <c r="D517" s="46"/>
      <c r="E517" s="46"/>
      <c r="F517" s="46"/>
      <c r="H517" s="43"/>
      <c r="I517" s="54"/>
    </row>
    <row r="518" spans="4:9" outlineLevel="3" x14ac:dyDescent="0.25">
      <c r="D518"/>
      <c r="E518"/>
      <c r="F518"/>
      <c r="H518"/>
      <c r="I518"/>
    </row>
    <row r="519" spans="4:9" s="40" customFormat="1" outlineLevel="2" x14ac:dyDescent="0.25">
      <c r="D519" s="46"/>
      <c r="E519" s="46"/>
      <c r="F519" s="46"/>
      <c r="H519" s="43"/>
      <c r="I519" s="54"/>
    </row>
    <row r="520" spans="4:9" outlineLevel="3" x14ac:dyDescent="0.25">
      <c r="D520"/>
      <c r="E520"/>
      <c r="F520"/>
      <c r="H520"/>
      <c r="I520"/>
    </row>
    <row r="521" spans="4:9" s="39" customFormat="1" outlineLevel="1" x14ac:dyDescent="0.25"/>
    <row r="522" spans="4:9" s="40" customFormat="1" outlineLevel="2" x14ac:dyDescent="0.25">
      <c r="D522" s="46"/>
      <c r="E522" s="46"/>
      <c r="F522" s="46"/>
      <c r="H522" s="43"/>
      <c r="I522" s="54"/>
    </row>
    <row r="523" spans="4:9" outlineLevel="3" x14ac:dyDescent="0.25">
      <c r="D523"/>
      <c r="E523"/>
      <c r="F523"/>
      <c r="H523"/>
      <c r="I523"/>
    </row>
    <row r="524" spans="4:9" s="40" customFormat="1" outlineLevel="2" x14ac:dyDescent="0.25"/>
    <row r="525" spans="4:9" outlineLevel="3" x14ac:dyDescent="0.25">
      <c r="E525" s="36"/>
    </row>
    <row r="526" spans="4:9" s="40" customFormat="1" outlineLevel="2" x14ac:dyDescent="0.25"/>
    <row r="527" spans="4:9" outlineLevel="3" x14ac:dyDescent="0.25">
      <c r="E527" s="36"/>
    </row>
    <row r="528" spans="4:9" s="40" customFormat="1" outlineLevel="2" x14ac:dyDescent="0.25"/>
    <row r="529" spans="4:9" outlineLevel="3" x14ac:dyDescent="0.25">
      <c r="E529" s="36"/>
    </row>
    <row r="530" spans="4:9" s="39" customFormat="1" outlineLevel="1" x14ac:dyDescent="0.25"/>
    <row r="531" spans="4:9" s="40" customFormat="1" outlineLevel="2" x14ac:dyDescent="0.25">
      <c r="D531" s="46"/>
      <c r="E531" s="46"/>
      <c r="F531" s="46"/>
      <c r="H531" s="43"/>
      <c r="I531" s="54"/>
    </row>
    <row r="532" spans="4:9" outlineLevel="3" x14ac:dyDescent="0.25">
      <c r="D532"/>
      <c r="E532"/>
      <c r="F532"/>
      <c r="H532"/>
      <c r="I532"/>
    </row>
    <row r="533" spans="4:9" s="40" customFormat="1" outlineLevel="2" x14ac:dyDescent="0.25">
      <c r="D533" s="46"/>
      <c r="E533" s="46"/>
      <c r="F533" s="46"/>
      <c r="H533" s="43"/>
      <c r="I533" s="54"/>
    </row>
    <row r="534" spans="4:9" outlineLevel="3" x14ac:dyDescent="0.25">
      <c r="D534"/>
      <c r="E534"/>
      <c r="F534"/>
      <c r="H534"/>
      <c r="I534"/>
    </row>
    <row r="535" spans="4:9" s="40" customFormat="1" outlineLevel="2" x14ac:dyDescent="0.25">
      <c r="D535" s="46"/>
      <c r="E535" s="46"/>
      <c r="F535" s="46"/>
      <c r="H535" s="43"/>
      <c r="I535" s="54"/>
    </row>
    <row r="536" spans="4:9" outlineLevel="3" x14ac:dyDescent="0.25">
      <c r="D536"/>
      <c r="E536"/>
      <c r="F536"/>
      <c r="H536"/>
      <c r="I536"/>
    </row>
    <row r="537" spans="4:9" s="40" customFormat="1" outlineLevel="2" x14ac:dyDescent="0.25">
      <c r="D537" s="46"/>
      <c r="E537" s="46"/>
      <c r="F537" s="46"/>
      <c r="H537" s="43"/>
      <c r="I537" s="54"/>
    </row>
    <row r="538" spans="4:9" outlineLevel="3" x14ac:dyDescent="0.25">
      <c r="D538"/>
      <c r="E538"/>
      <c r="F538"/>
      <c r="H538"/>
      <c r="I538"/>
    </row>
    <row r="539" spans="4:9" s="40" customFormat="1" outlineLevel="2" x14ac:dyDescent="0.25">
      <c r="D539" s="46"/>
      <c r="E539" s="46"/>
      <c r="F539" s="46"/>
      <c r="H539" s="43"/>
      <c r="I539" s="54"/>
    </row>
    <row r="540" spans="4:9" outlineLevel="3" x14ac:dyDescent="0.25">
      <c r="D540"/>
      <c r="E540"/>
      <c r="F540"/>
      <c r="H540"/>
      <c r="I540"/>
    </row>
    <row r="541" spans="4:9" s="40" customFormat="1" outlineLevel="2" x14ac:dyDescent="0.25">
      <c r="D541" s="46"/>
      <c r="E541" s="46"/>
      <c r="F541" s="46"/>
      <c r="H541" s="43"/>
      <c r="I541" s="54"/>
    </row>
    <row r="542" spans="4:9" outlineLevel="3" x14ac:dyDescent="0.25">
      <c r="D542"/>
      <c r="E542"/>
      <c r="F542"/>
      <c r="H542"/>
      <c r="I542"/>
    </row>
    <row r="543" spans="4:9" s="40" customFormat="1" outlineLevel="2" x14ac:dyDescent="0.25">
      <c r="D543" s="46"/>
      <c r="E543" s="46"/>
      <c r="F543" s="46"/>
      <c r="H543" s="43"/>
      <c r="I543" s="54"/>
    </row>
    <row r="544" spans="4:9" outlineLevel="3" x14ac:dyDescent="0.25">
      <c r="D544"/>
      <c r="E544"/>
      <c r="F544"/>
      <c r="H544"/>
      <c r="I544"/>
    </row>
    <row r="545" spans="4:9" s="40" customFormat="1" outlineLevel="2" x14ac:dyDescent="0.25">
      <c r="D545" s="46"/>
      <c r="E545" s="46"/>
      <c r="F545" s="46"/>
      <c r="H545" s="43"/>
      <c r="I545" s="54"/>
    </row>
    <row r="546" spans="4:9" outlineLevel="3" x14ac:dyDescent="0.25">
      <c r="D546"/>
      <c r="E546"/>
      <c r="F546"/>
      <c r="H546"/>
      <c r="I546"/>
    </row>
    <row r="547" spans="4:9" s="40" customFormat="1" outlineLevel="2" x14ac:dyDescent="0.25">
      <c r="D547" s="46"/>
      <c r="E547" s="46"/>
      <c r="F547" s="46"/>
      <c r="H547" s="43"/>
      <c r="I547" s="54"/>
    </row>
    <row r="548" spans="4:9" outlineLevel="3" x14ac:dyDescent="0.25">
      <c r="D548"/>
      <c r="E548"/>
      <c r="F548"/>
      <c r="H548"/>
      <c r="I548"/>
    </row>
    <row r="549" spans="4:9" s="40" customFormat="1" outlineLevel="2" x14ac:dyDescent="0.25">
      <c r="D549" s="46"/>
      <c r="E549" s="46"/>
      <c r="F549" s="46"/>
      <c r="H549" s="43"/>
      <c r="I549" s="54"/>
    </row>
    <row r="550" spans="4:9" outlineLevel="3" x14ac:dyDescent="0.25">
      <c r="D550"/>
      <c r="E550"/>
      <c r="F550"/>
      <c r="H550"/>
      <c r="I550" s="107"/>
    </row>
    <row r="551" spans="4:9" s="40" customFormat="1" outlineLevel="2" x14ac:dyDescent="0.25">
      <c r="D551" s="46"/>
      <c r="E551" s="46"/>
      <c r="F551" s="46"/>
      <c r="H551" s="43"/>
      <c r="I551" s="54"/>
    </row>
    <row r="552" spans="4:9" outlineLevel="3" x14ac:dyDescent="0.25">
      <c r="D552"/>
      <c r="E552"/>
      <c r="F552"/>
      <c r="H552"/>
      <c r="I552" s="107"/>
    </row>
    <row r="553" spans="4:9" s="40" customFormat="1" outlineLevel="2" x14ac:dyDescent="0.25">
      <c r="D553" s="46"/>
      <c r="E553" s="46"/>
      <c r="F553" s="46"/>
      <c r="H553" s="43"/>
      <c r="I553" s="54"/>
    </row>
    <row r="554" spans="4:9" outlineLevel="3" x14ac:dyDescent="0.25">
      <c r="D554"/>
      <c r="E554"/>
      <c r="F554"/>
      <c r="H554"/>
      <c r="I554" s="107"/>
    </row>
    <row r="555" spans="4:9" s="40" customFormat="1" outlineLevel="2" x14ac:dyDescent="0.25">
      <c r="D555" s="46"/>
      <c r="E555" s="46"/>
      <c r="F555" s="46"/>
      <c r="H555" s="43"/>
      <c r="I555" s="54"/>
    </row>
    <row r="556" spans="4:9" outlineLevel="3" x14ac:dyDescent="0.25">
      <c r="D556"/>
      <c r="E556"/>
      <c r="F556"/>
      <c r="H556"/>
      <c r="I556"/>
    </row>
    <row r="557" spans="4:9" s="40" customFormat="1" outlineLevel="2" x14ac:dyDescent="0.25">
      <c r="D557" s="46"/>
      <c r="E557" s="46"/>
      <c r="F557" s="46"/>
      <c r="H557" s="43"/>
      <c r="I557" s="54"/>
    </row>
    <row r="558" spans="4:9" outlineLevel="3" x14ac:dyDescent="0.25">
      <c r="D558"/>
      <c r="E558"/>
      <c r="F558"/>
      <c r="H558"/>
      <c r="I558"/>
    </row>
    <row r="559" spans="4:9" s="40" customFormat="1" outlineLevel="2" x14ac:dyDescent="0.25">
      <c r="D559" s="46"/>
      <c r="E559" s="46"/>
      <c r="F559" s="46"/>
      <c r="H559" s="43"/>
      <c r="I559" s="54"/>
    </row>
    <row r="560" spans="4:9" outlineLevel="3" x14ac:dyDescent="0.25">
      <c r="D560"/>
      <c r="E560"/>
      <c r="F560"/>
      <c r="H560"/>
      <c r="I560"/>
    </row>
    <row r="561" spans="4:9" s="40" customFormat="1" outlineLevel="2" x14ac:dyDescent="0.25">
      <c r="D561" s="46"/>
      <c r="E561" s="46"/>
      <c r="F561" s="46"/>
      <c r="H561" s="43"/>
      <c r="I561" s="54"/>
    </row>
    <row r="562" spans="4:9" outlineLevel="3" x14ac:dyDescent="0.25">
      <c r="D562"/>
      <c r="E562"/>
      <c r="F562"/>
      <c r="H562"/>
      <c r="I562"/>
    </row>
    <row r="563" spans="4:9" s="40" customFormat="1" outlineLevel="2" x14ac:dyDescent="0.25">
      <c r="D563" s="46"/>
      <c r="E563" s="46"/>
      <c r="F563" s="46"/>
      <c r="H563" s="43"/>
      <c r="I563" s="54"/>
    </row>
    <row r="564" spans="4:9" outlineLevel="3" x14ac:dyDescent="0.25">
      <c r="D564"/>
      <c r="E564"/>
      <c r="F564"/>
      <c r="H564"/>
      <c r="I564"/>
    </row>
    <row r="565" spans="4:9" s="40" customFormat="1" outlineLevel="2" x14ac:dyDescent="0.25">
      <c r="D565" s="46"/>
      <c r="E565" s="46"/>
      <c r="F565" s="46"/>
      <c r="H565" s="43"/>
      <c r="I565" s="54"/>
    </row>
    <row r="566" spans="4:9" outlineLevel="3" x14ac:dyDescent="0.25">
      <c r="D566"/>
      <c r="E566"/>
      <c r="F566"/>
      <c r="H566"/>
      <c r="I566"/>
    </row>
    <row r="567" spans="4:9" s="40" customFormat="1" outlineLevel="2" x14ac:dyDescent="0.25">
      <c r="D567" s="46"/>
      <c r="E567" s="46"/>
      <c r="F567" s="46"/>
      <c r="H567" s="43"/>
      <c r="I567" s="54"/>
    </row>
    <row r="568" spans="4:9" outlineLevel="3" x14ac:dyDescent="0.25">
      <c r="D568"/>
      <c r="E568"/>
      <c r="F568"/>
      <c r="H568"/>
      <c r="I568"/>
    </row>
    <row r="569" spans="4:9" s="40" customFormat="1" outlineLevel="2" x14ac:dyDescent="0.25">
      <c r="D569" s="46"/>
      <c r="E569" s="46"/>
      <c r="F569" s="46"/>
      <c r="H569" s="43"/>
      <c r="I569" s="54"/>
    </row>
    <row r="570" spans="4:9" outlineLevel="3" x14ac:dyDescent="0.25">
      <c r="D570"/>
      <c r="E570"/>
      <c r="F570"/>
      <c r="H570"/>
      <c r="I570"/>
    </row>
    <row r="571" spans="4:9" s="40" customFormat="1" outlineLevel="2" x14ac:dyDescent="0.25">
      <c r="D571" s="46"/>
      <c r="E571" s="46"/>
      <c r="F571" s="46"/>
      <c r="H571" s="43"/>
      <c r="I571" s="54"/>
    </row>
    <row r="572" spans="4:9" outlineLevel="3" x14ac:dyDescent="0.25">
      <c r="D572"/>
      <c r="E572"/>
      <c r="F572"/>
      <c r="H572"/>
      <c r="I572"/>
    </row>
    <row r="573" spans="4:9" s="40" customFormat="1" outlineLevel="2" x14ac:dyDescent="0.25">
      <c r="D573" s="46"/>
      <c r="E573" s="46"/>
      <c r="F573" s="46"/>
      <c r="H573" s="43"/>
      <c r="I573" s="54"/>
    </row>
    <row r="574" spans="4:9" outlineLevel="3" x14ac:dyDescent="0.25">
      <c r="D574"/>
      <c r="E574"/>
      <c r="F574"/>
      <c r="H574"/>
      <c r="I574"/>
    </row>
    <row r="575" spans="4:9" s="40" customFormat="1" outlineLevel="2" x14ac:dyDescent="0.25">
      <c r="D575" s="46"/>
      <c r="E575" s="46"/>
      <c r="F575" s="46"/>
      <c r="H575" s="43"/>
      <c r="I575" s="54"/>
    </row>
    <row r="576" spans="4:9" outlineLevel="3" x14ac:dyDescent="0.25">
      <c r="D576"/>
      <c r="E576"/>
      <c r="F576"/>
      <c r="H576"/>
      <c r="I576"/>
    </row>
    <row r="577" spans="4:9" s="40" customFormat="1" outlineLevel="2" x14ac:dyDescent="0.25">
      <c r="D577" s="46"/>
      <c r="E577" s="46"/>
      <c r="F577" s="46"/>
      <c r="H577" s="43"/>
      <c r="I577" s="54"/>
    </row>
    <row r="578" spans="4:9" outlineLevel="3" x14ac:dyDescent="0.25">
      <c r="D578"/>
      <c r="E578"/>
      <c r="F578"/>
      <c r="H578"/>
      <c r="I578"/>
    </row>
    <row r="579" spans="4:9" s="40" customFormat="1" outlineLevel="2" x14ac:dyDescent="0.25">
      <c r="D579" s="46"/>
      <c r="E579" s="46"/>
      <c r="F579" s="46"/>
      <c r="H579" s="43"/>
      <c r="I579" s="54"/>
    </row>
    <row r="580" spans="4:9" outlineLevel="3" x14ac:dyDescent="0.25">
      <c r="D580"/>
      <c r="E580"/>
      <c r="F580"/>
      <c r="H580"/>
      <c r="I580" s="107"/>
    </row>
    <row r="581" spans="4:9" s="40" customFormat="1" outlineLevel="2" x14ac:dyDescent="0.25">
      <c r="D581" s="46"/>
      <c r="E581" s="46"/>
      <c r="F581" s="46"/>
      <c r="H581" s="43"/>
      <c r="I581" s="54"/>
    </row>
    <row r="582" spans="4:9" outlineLevel="3" x14ac:dyDescent="0.25">
      <c r="D582"/>
      <c r="E582"/>
      <c r="F582"/>
      <c r="H582"/>
      <c r="I582"/>
    </row>
    <row r="583" spans="4:9" s="40" customFormat="1" outlineLevel="2" x14ac:dyDescent="0.25">
      <c r="D583" s="46"/>
      <c r="E583" s="46"/>
      <c r="F583" s="46"/>
      <c r="H583" s="43"/>
      <c r="I583" s="54"/>
    </row>
    <row r="584" spans="4:9" outlineLevel="3" x14ac:dyDescent="0.25">
      <c r="D584"/>
      <c r="E584"/>
      <c r="F584"/>
      <c r="H584"/>
      <c r="I584" s="107"/>
    </row>
    <row r="585" spans="4:9" s="40" customFormat="1" outlineLevel="2" x14ac:dyDescent="0.25">
      <c r="D585" s="46"/>
      <c r="E585" s="46"/>
      <c r="F585" s="46"/>
      <c r="H585" s="43"/>
      <c r="I585" s="54"/>
    </row>
    <row r="586" spans="4:9" outlineLevel="3" x14ac:dyDescent="0.25">
      <c r="D586"/>
      <c r="E586"/>
      <c r="F586"/>
      <c r="H586"/>
      <c r="I586"/>
    </row>
    <row r="587" spans="4:9" s="40" customFormat="1" outlineLevel="2" x14ac:dyDescent="0.25">
      <c r="D587" s="46"/>
      <c r="E587" s="46"/>
      <c r="F587" s="46"/>
      <c r="H587" s="43"/>
      <c r="I587" s="54"/>
    </row>
    <row r="588" spans="4:9" outlineLevel="3" x14ac:dyDescent="0.25">
      <c r="D588"/>
      <c r="E588"/>
      <c r="F588"/>
      <c r="H588"/>
      <c r="I588"/>
    </row>
    <row r="589" spans="4:9" s="40" customFormat="1" outlineLevel="2" x14ac:dyDescent="0.25">
      <c r="D589" s="46"/>
      <c r="E589" s="46"/>
      <c r="F589" s="46"/>
      <c r="H589" s="43"/>
      <c r="I589" s="54"/>
    </row>
    <row r="590" spans="4:9" outlineLevel="3" x14ac:dyDescent="0.25">
      <c r="D590"/>
      <c r="E590"/>
      <c r="F590"/>
      <c r="H590"/>
      <c r="I590"/>
    </row>
    <row r="591" spans="4:9" s="40" customFormat="1" outlineLevel="2" x14ac:dyDescent="0.25">
      <c r="D591" s="46"/>
      <c r="E591" s="46"/>
      <c r="F591" s="46"/>
      <c r="H591" s="43"/>
      <c r="I591" s="54"/>
    </row>
    <row r="592" spans="4:9" outlineLevel="3" x14ac:dyDescent="0.25">
      <c r="D592"/>
      <c r="E592"/>
      <c r="F592"/>
      <c r="H592"/>
      <c r="I592"/>
    </row>
    <row r="593" spans="4:9" s="40" customFormat="1" outlineLevel="2" x14ac:dyDescent="0.25">
      <c r="D593" s="46"/>
      <c r="E593" s="46"/>
      <c r="F593" s="46"/>
      <c r="H593" s="43"/>
      <c r="I593" s="54"/>
    </row>
    <row r="594" spans="4:9" outlineLevel="3" x14ac:dyDescent="0.25">
      <c r="D594"/>
      <c r="E594"/>
      <c r="F594"/>
      <c r="H594"/>
      <c r="I594"/>
    </row>
    <row r="595" spans="4:9" s="40" customFormat="1" outlineLevel="2" x14ac:dyDescent="0.25">
      <c r="D595" s="46"/>
      <c r="E595" s="46"/>
      <c r="F595" s="46"/>
      <c r="H595" s="43"/>
      <c r="I595" s="54"/>
    </row>
    <row r="596" spans="4:9" outlineLevel="3" x14ac:dyDescent="0.25">
      <c r="D596"/>
      <c r="E596"/>
      <c r="F596"/>
      <c r="H596"/>
      <c r="I596"/>
    </row>
    <row r="597" spans="4:9" s="40" customFormat="1" outlineLevel="2" x14ac:dyDescent="0.25">
      <c r="D597" s="46"/>
      <c r="E597" s="46"/>
      <c r="F597" s="46"/>
      <c r="H597" s="43"/>
      <c r="I597" s="54"/>
    </row>
    <row r="598" spans="4:9" outlineLevel="3" x14ac:dyDescent="0.25">
      <c r="D598"/>
      <c r="E598"/>
      <c r="F598"/>
      <c r="H598"/>
      <c r="I598"/>
    </row>
    <row r="599" spans="4:9" s="40" customFormat="1" outlineLevel="2" x14ac:dyDescent="0.25">
      <c r="D599" s="46"/>
      <c r="E599" s="46"/>
      <c r="F599" s="46"/>
      <c r="H599" s="43"/>
      <c r="I599" s="54"/>
    </row>
    <row r="600" spans="4:9" outlineLevel="3" x14ac:dyDescent="0.25">
      <c r="D600"/>
      <c r="E600"/>
      <c r="F600"/>
      <c r="H600"/>
      <c r="I600" s="107"/>
    </row>
    <row r="601" spans="4:9" s="40" customFormat="1" outlineLevel="2" x14ac:dyDescent="0.25">
      <c r="D601" s="46"/>
      <c r="E601" s="46"/>
      <c r="F601" s="46"/>
      <c r="H601" s="43"/>
      <c r="I601" s="54"/>
    </row>
    <row r="602" spans="4:9" outlineLevel="3" x14ac:dyDescent="0.25">
      <c r="D602"/>
      <c r="E602"/>
      <c r="F602"/>
      <c r="H602"/>
      <c r="I602"/>
    </row>
    <row r="603" spans="4:9" s="40" customFormat="1" outlineLevel="2" x14ac:dyDescent="0.25">
      <c r="D603" s="46"/>
      <c r="E603" s="46"/>
      <c r="F603" s="46"/>
      <c r="H603" s="43"/>
      <c r="I603" s="54"/>
    </row>
    <row r="604" spans="4:9" outlineLevel="3" x14ac:dyDescent="0.25">
      <c r="D604"/>
      <c r="E604"/>
      <c r="F604"/>
      <c r="H604"/>
      <c r="I604"/>
    </row>
    <row r="605" spans="4:9" s="40" customFormat="1" outlineLevel="2" x14ac:dyDescent="0.25">
      <c r="D605" s="46"/>
      <c r="E605" s="46"/>
      <c r="F605" s="46"/>
      <c r="H605" s="43"/>
      <c r="I605" s="54"/>
    </row>
    <row r="606" spans="4:9" outlineLevel="3" x14ac:dyDescent="0.25">
      <c r="D606"/>
      <c r="E606"/>
      <c r="F606"/>
      <c r="H606"/>
      <c r="I606"/>
    </row>
    <row r="607" spans="4:9" s="40" customFormat="1" outlineLevel="2" x14ac:dyDescent="0.25">
      <c r="D607" s="46"/>
      <c r="E607" s="46"/>
      <c r="F607" s="46"/>
      <c r="H607" s="43"/>
      <c r="I607" s="54"/>
    </row>
    <row r="608" spans="4:9" outlineLevel="3" x14ac:dyDescent="0.25">
      <c r="D608"/>
      <c r="E608"/>
      <c r="F608"/>
      <c r="H608"/>
      <c r="I608"/>
    </row>
    <row r="609" spans="4:9" s="40" customFormat="1" outlineLevel="2" x14ac:dyDescent="0.25">
      <c r="D609" s="46"/>
      <c r="E609" s="46"/>
      <c r="F609" s="46"/>
      <c r="H609" s="43"/>
      <c r="I609" s="54"/>
    </row>
    <row r="610" spans="4:9" outlineLevel="3" x14ac:dyDescent="0.25">
      <c r="D610"/>
      <c r="E610"/>
      <c r="F610"/>
      <c r="H610"/>
      <c r="I610"/>
    </row>
    <row r="611" spans="4:9" s="40" customFormat="1" outlineLevel="2" x14ac:dyDescent="0.25">
      <c r="D611" s="46"/>
      <c r="E611" s="46"/>
      <c r="F611" s="46"/>
      <c r="H611" s="43"/>
      <c r="I611" s="54"/>
    </row>
    <row r="612" spans="4:9" outlineLevel="3" x14ac:dyDescent="0.25">
      <c r="D612"/>
      <c r="E612"/>
      <c r="F612"/>
      <c r="H612"/>
      <c r="I612"/>
    </row>
    <row r="613" spans="4:9" s="40" customFormat="1" outlineLevel="2" x14ac:dyDescent="0.25">
      <c r="D613" s="46"/>
      <c r="E613" s="46"/>
      <c r="F613" s="46"/>
      <c r="H613" s="43"/>
      <c r="I613" s="54"/>
    </row>
    <row r="614" spans="4:9" outlineLevel="3" x14ac:dyDescent="0.25">
      <c r="D614"/>
      <c r="E614"/>
      <c r="F614"/>
      <c r="H614"/>
      <c r="I614"/>
    </row>
    <row r="615" spans="4:9" s="40" customFormat="1" outlineLevel="2" x14ac:dyDescent="0.25"/>
    <row r="616" spans="4:9" outlineLevel="3" x14ac:dyDescent="0.25">
      <c r="E616" s="36"/>
    </row>
    <row r="617" spans="4:9" s="40" customFormat="1" outlineLevel="2" x14ac:dyDescent="0.25"/>
    <row r="618" spans="4:9" outlineLevel="3" x14ac:dyDescent="0.25">
      <c r="E618" s="36"/>
    </row>
    <row r="619" spans="4:9" s="40" customFormat="1" outlineLevel="2" x14ac:dyDescent="0.25"/>
    <row r="620" spans="4:9" outlineLevel="3" x14ac:dyDescent="0.25">
      <c r="E620" s="36"/>
    </row>
    <row r="621" spans="4:9" s="39" customFormat="1" outlineLevel="1" x14ac:dyDescent="0.25"/>
    <row r="622" spans="4:9" s="40" customFormat="1" outlineLevel="2" x14ac:dyDescent="0.25"/>
    <row r="623" spans="4:9" outlineLevel="3" x14ac:dyDescent="0.25">
      <c r="E623" s="36"/>
    </row>
    <row r="624" spans="4:9" s="40" customFormat="1" outlineLevel="2" x14ac:dyDescent="0.25"/>
    <row r="625" spans="4:9" outlineLevel="3" x14ac:dyDescent="0.25">
      <c r="E625" s="36"/>
    </row>
    <row r="626" spans="4:9" s="40" customFormat="1" outlineLevel="2" x14ac:dyDescent="0.25"/>
    <row r="627" spans="4:9" outlineLevel="3" x14ac:dyDescent="0.25">
      <c r="E627" s="36"/>
    </row>
    <row r="628" spans="4:9" s="39" customFormat="1" outlineLevel="1" x14ac:dyDescent="0.25"/>
    <row r="629" spans="4:9" s="40" customFormat="1" outlineLevel="2" x14ac:dyDescent="0.25">
      <c r="D629" s="46"/>
      <c r="E629" s="46"/>
      <c r="F629" s="46"/>
      <c r="H629" s="43"/>
      <c r="I629" s="54"/>
    </row>
    <row r="630" spans="4:9" outlineLevel="3" x14ac:dyDescent="0.25">
      <c r="D630"/>
      <c r="E630"/>
      <c r="F630"/>
      <c r="H630"/>
      <c r="I630"/>
    </row>
    <row r="631" spans="4:9" s="40" customFormat="1" outlineLevel="2" x14ac:dyDescent="0.25">
      <c r="D631" s="46"/>
      <c r="E631" s="46"/>
      <c r="F631" s="46"/>
      <c r="H631" s="43"/>
      <c r="I631" s="54"/>
    </row>
    <row r="632" spans="4:9" outlineLevel="3" x14ac:dyDescent="0.25">
      <c r="D632"/>
      <c r="E632"/>
      <c r="F632"/>
      <c r="H632"/>
      <c r="I632"/>
    </row>
    <row r="633" spans="4:9" s="40" customFormat="1" outlineLevel="2" x14ac:dyDescent="0.25">
      <c r="D633" s="46"/>
      <c r="E633" s="46"/>
      <c r="F633" s="46"/>
      <c r="H633" s="43"/>
      <c r="I633" s="54"/>
    </row>
    <row r="634" spans="4:9" outlineLevel="3" x14ac:dyDescent="0.25">
      <c r="D634"/>
      <c r="E634"/>
      <c r="F634"/>
      <c r="H634"/>
      <c r="I634"/>
    </row>
    <row r="635" spans="4:9" s="40" customFormat="1" outlineLevel="2" x14ac:dyDescent="0.25">
      <c r="D635" s="46"/>
      <c r="E635" s="46"/>
      <c r="F635" s="46"/>
      <c r="H635" s="43"/>
      <c r="I635" s="54"/>
    </row>
    <row r="636" spans="4:9" outlineLevel="3" x14ac:dyDescent="0.25">
      <c r="D636"/>
      <c r="E636"/>
      <c r="F636"/>
      <c r="H636"/>
      <c r="I636"/>
    </row>
    <row r="637" spans="4:9" s="40" customFormat="1" outlineLevel="2" x14ac:dyDescent="0.25">
      <c r="D637" s="46"/>
      <c r="E637" s="46"/>
      <c r="F637" s="46"/>
      <c r="H637" s="43"/>
      <c r="I637" s="54"/>
    </row>
    <row r="638" spans="4:9" outlineLevel="3" x14ac:dyDescent="0.25">
      <c r="D638"/>
      <c r="E638"/>
      <c r="F638"/>
      <c r="H638"/>
      <c r="I638"/>
    </row>
    <row r="639" spans="4:9" s="40" customFormat="1" outlineLevel="2" x14ac:dyDescent="0.25">
      <c r="D639" s="46"/>
      <c r="E639" s="46"/>
      <c r="F639" s="46"/>
      <c r="H639" s="43"/>
      <c r="I639" s="54"/>
    </row>
    <row r="640" spans="4:9" outlineLevel="3" x14ac:dyDescent="0.25">
      <c r="D640"/>
      <c r="E640"/>
      <c r="F640"/>
      <c r="H640"/>
      <c r="I640"/>
    </row>
    <row r="641" spans="4:9" s="40" customFormat="1" outlineLevel="2" x14ac:dyDescent="0.25">
      <c r="D641" s="46"/>
      <c r="E641" s="46"/>
      <c r="F641" s="46"/>
      <c r="H641" s="43"/>
      <c r="I641" s="54"/>
    </row>
    <row r="642" spans="4:9" outlineLevel="3" x14ac:dyDescent="0.25">
      <c r="D642"/>
      <c r="E642"/>
      <c r="F642"/>
      <c r="H642"/>
      <c r="I642"/>
    </row>
    <row r="643" spans="4:9" s="40" customFormat="1" outlineLevel="2" x14ac:dyDescent="0.25">
      <c r="D643" s="46"/>
      <c r="E643" s="46"/>
      <c r="F643" s="46"/>
      <c r="H643" s="43"/>
      <c r="I643" s="54"/>
    </row>
    <row r="644" spans="4:9" outlineLevel="3" x14ac:dyDescent="0.25">
      <c r="D644"/>
      <c r="E644"/>
      <c r="F644"/>
      <c r="H644"/>
      <c r="I644"/>
    </row>
    <row r="645" spans="4:9" s="40" customFormat="1" outlineLevel="2" x14ac:dyDescent="0.25">
      <c r="D645" s="46"/>
      <c r="E645" s="46"/>
      <c r="F645" s="46"/>
      <c r="H645" s="43"/>
      <c r="I645" s="54"/>
    </row>
    <row r="646" spans="4:9" outlineLevel="3" x14ac:dyDescent="0.25">
      <c r="D646"/>
      <c r="E646"/>
      <c r="F646"/>
      <c r="H646"/>
      <c r="I646"/>
    </row>
    <row r="647" spans="4:9" s="40" customFormat="1" outlineLevel="2" x14ac:dyDescent="0.25">
      <c r="D647" s="46"/>
      <c r="E647" s="46"/>
      <c r="F647" s="46"/>
      <c r="H647" s="43"/>
      <c r="I647" s="54"/>
    </row>
    <row r="648" spans="4:9" outlineLevel="3" x14ac:dyDescent="0.25">
      <c r="D648"/>
      <c r="E648"/>
      <c r="F648"/>
      <c r="H648"/>
      <c r="I648"/>
    </row>
    <row r="649" spans="4:9" s="40" customFormat="1" outlineLevel="2" x14ac:dyDescent="0.25">
      <c r="D649" s="46"/>
      <c r="E649" s="46"/>
      <c r="F649" s="46"/>
      <c r="H649" s="43"/>
      <c r="I649" s="54"/>
    </row>
    <row r="650" spans="4:9" outlineLevel="3" x14ac:dyDescent="0.25">
      <c r="D650"/>
      <c r="E650"/>
      <c r="F650"/>
      <c r="H650"/>
      <c r="I650"/>
    </row>
    <row r="651" spans="4:9" s="40" customFormat="1" outlineLevel="2" x14ac:dyDescent="0.25">
      <c r="D651" s="46"/>
      <c r="E651" s="46"/>
      <c r="F651" s="46"/>
      <c r="H651" s="43"/>
      <c r="I651" s="54"/>
    </row>
    <row r="652" spans="4:9" outlineLevel="3" x14ac:dyDescent="0.25">
      <c r="D652"/>
      <c r="E652"/>
      <c r="F652"/>
      <c r="H652"/>
      <c r="I652"/>
    </row>
    <row r="653" spans="4:9" s="40" customFormat="1" outlineLevel="2" x14ac:dyDescent="0.25">
      <c r="D653" s="46"/>
      <c r="E653" s="46"/>
      <c r="F653" s="46"/>
      <c r="H653" s="43"/>
      <c r="I653" s="54"/>
    </row>
    <row r="654" spans="4:9" outlineLevel="3" x14ac:dyDescent="0.25">
      <c r="D654"/>
      <c r="E654"/>
      <c r="F654"/>
      <c r="H654"/>
      <c r="I654"/>
    </row>
    <row r="655" spans="4:9" s="40" customFormat="1" outlineLevel="2" x14ac:dyDescent="0.25">
      <c r="D655" s="46"/>
      <c r="E655" s="46"/>
      <c r="F655" s="46"/>
      <c r="H655" s="43"/>
      <c r="I655" s="54"/>
    </row>
    <row r="656" spans="4:9" outlineLevel="3" x14ac:dyDescent="0.25">
      <c r="D656"/>
      <c r="E656"/>
      <c r="F656"/>
      <c r="H656"/>
      <c r="I656"/>
    </row>
    <row r="657" spans="4:9" s="40" customFormat="1" outlineLevel="2" x14ac:dyDescent="0.25">
      <c r="D657" s="46"/>
      <c r="E657" s="46"/>
      <c r="F657" s="46"/>
      <c r="H657" s="43"/>
      <c r="I657" s="54"/>
    </row>
    <row r="658" spans="4:9" outlineLevel="3" x14ac:dyDescent="0.25">
      <c r="D658"/>
      <c r="E658"/>
      <c r="F658"/>
      <c r="H658"/>
      <c r="I658" s="107"/>
    </row>
    <row r="659" spans="4:9" s="40" customFormat="1" outlineLevel="2" x14ac:dyDescent="0.25">
      <c r="D659" s="46"/>
      <c r="E659" s="46"/>
      <c r="F659" s="46"/>
      <c r="H659" s="43"/>
      <c r="I659" s="54"/>
    </row>
    <row r="660" spans="4:9" outlineLevel="3" x14ac:dyDescent="0.25">
      <c r="D660"/>
      <c r="E660"/>
      <c r="F660"/>
      <c r="H660"/>
      <c r="I660"/>
    </row>
    <row r="661" spans="4:9" s="40" customFormat="1" outlineLevel="2" x14ac:dyDescent="0.25">
      <c r="D661" s="46"/>
      <c r="E661" s="46"/>
      <c r="F661" s="46"/>
      <c r="H661" s="43"/>
      <c r="I661" s="54"/>
    </row>
    <row r="662" spans="4:9" outlineLevel="3" x14ac:dyDescent="0.25">
      <c r="D662"/>
      <c r="E662"/>
      <c r="F662"/>
      <c r="H662"/>
      <c r="I662"/>
    </row>
    <row r="663" spans="4:9" s="40" customFormat="1" outlineLevel="2" x14ac:dyDescent="0.25">
      <c r="D663" s="46"/>
      <c r="E663" s="46"/>
      <c r="F663" s="46"/>
      <c r="H663" s="43"/>
      <c r="I663" s="54"/>
    </row>
    <row r="664" spans="4:9" outlineLevel="3" x14ac:dyDescent="0.25">
      <c r="D664"/>
      <c r="E664"/>
      <c r="F664"/>
      <c r="H664"/>
      <c r="I664"/>
    </row>
    <row r="665" spans="4:9" s="40" customFormat="1" outlineLevel="2" x14ac:dyDescent="0.25">
      <c r="D665" s="46"/>
      <c r="E665" s="46"/>
      <c r="F665" s="46"/>
      <c r="H665" s="43"/>
      <c r="I665" s="54"/>
    </row>
    <row r="666" spans="4:9" outlineLevel="3" x14ac:dyDescent="0.25">
      <c r="D666"/>
      <c r="E666"/>
      <c r="F666"/>
      <c r="H666"/>
      <c r="I666"/>
    </row>
    <row r="667" spans="4:9" s="40" customFormat="1" outlineLevel="2" x14ac:dyDescent="0.25">
      <c r="D667" s="46"/>
      <c r="E667" s="46"/>
      <c r="F667" s="46"/>
      <c r="H667" s="43"/>
      <c r="I667" s="54"/>
    </row>
    <row r="668" spans="4:9" outlineLevel="3" x14ac:dyDescent="0.25">
      <c r="D668"/>
      <c r="E668"/>
      <c r="F668"/>
      <c r="H668"/>
      <c r="I668"/>
    </row>
    <row r="669" spans="4:9" s="40" customFormat="1" outlineLevel="2" x14ac:dyDescent="0.25">
      <c r="D669" s="46"/>
      <c r="E669" s="46"/>
      <c r="F669" s="46"/>
      <c r="H669" s="43"/>
      <c r="I669" s="54"/>
    </row>
    <row r="670" spans="4:9" outlineLevel="3" x14ac:dyDescent="0.25">
      <c r="D670"/>
      <c r="E670"/>
      <c r="F670"/>
      <c r="H670"/>
      <c r="I670"/>
    </row>
    <row r="671" spans="4:9" s="40" customFormat="1" outlineLevel="2" x14ac:dyDescent="0.25">
      <c r="D671" s="46"/>
      <c r="E671" s="46"/>
      <c r="F671" s="46"/>
      <c r="H671" s="43"/>
      <c r="I671" s="54"/>
    </row>
    <row r="672" spans="4:9" outlineLevel="3" x14ac:dyDescent="0.25">
      <c r="D672"/>
      <c r="E672"/>
      <c r="F672"/>
      <c r="H672"/>
      <c r="I672"/>
    </row>
    <row r="673" spans="4:9" s="40" customFormat="1" outlineLevel="2" x14ac:dyDescent="0.25">
      <c r="D673" s="46"/>
      <c r="E673" s="46"/>
      <c r="F673" s="46"/>
      <c r="H673" s="43"/>
      <c r="I673" s="54"/>
    </row>
    <row r="674" spans="4:9" outlineLevel="3" x14ac:dyDescent="0.25">
      <c r="D674"/>
      <c r="E674"/>
      <c r="F674"/>
      <c r="H674"/>
      <c r="I674"/>
    </row>
    <row r="675" spans="4:9" s="40" customFormat="1" outlineLevel="2" x14ac:dyDescent="0.25">
      <c r="D675" s="46"/>
      <c r="E675" s="46"/>
      <c r="F675" s="46"/>
      <c r="H675" s="43"/>
      <c r="I675" s="54"/>
    </row>
    <row r="676" spans="4:9" outlineLevel="3" x14ac:dyDescent="0.25">
      <c r="D676"/>
      <c r="E676"/>
      <c r="F676"/>
      <c r="H676"/>
      <c r="I676"/>
    </row>
    <row r="677" spans="4:9" s="40" customFormat="1" outlineLevel="2" x14ac:dyDescent="0.25">
      <c r="D677" s="46"/>
      <c r="E677" s="46"/>
      <c r="F677" s="46"/>
      <c r="H677" s="43"/>
      <c r="I677" s="54"/>
    </row>
    <row r="678" spans="4:9" outlineLevel="3" x14ac:dyDescent="0.25">
      <c r="D678"/>
      <c r="E678"/>
      <c r="F678"/>
      <c r="H678"/>
      <c r="I678"/>
    </row>
    <row r="679" spans="4:9" s="40" customFormat="1" outlineLevel="2" x14ac:dyDescent="0.25">
      <c r="D679" s="46"/>
      <c r="E679" s="46"/>
      <c r="F679" s="46"/>
      <c r="H679" s="43"/>
      <c r="I679" s="54"/>
    </row>
    <row r="680" spans="4:9" outlineLevel="3" x14ac:dyDescent="0.25">
      <c r="D680"/>
      <c r="E680"/>
      <c r="F680"/>
      <c r="H680"/>
      <c r="I680"/>
    </row>
    <row r="681" spans="4:9" s="40" customFormat="1" outlineLevel="2" x14ac:dyDescent="0.25">
      <c r="D681" s="46"/>
      <c r="E681" s="46"/>
      <c r="F681" s="46"/>
      <c r="H681" s="43"/>
      <c r="I681" s="54"/>
    </row>
    <row r="682" spans="4:9" outlineLevel="3" x14ac:dyDescent="0.25">
      <c r="D682"/>
      <c r="E682"/>
      <c r="F682"/>
      <c r="H682"/>
      <c r="I682"/>
    </row>
    <row r="683" spans="4:9" s="40" customFormat="1" outlineLevel="2" x14ac:dyDescent="0.25">
      <c r="D683" s="46"/>
      <c r="E683" s="46"/>
      <c r="F683" s="46"/>
      <c r="H683" s="43"/>
      <c r="I683" s="54"/>
    </row>
    <row r="684" spans="4:9" outlineLevel="3" x14ac:dyDescent="0.25">
      <c r="D684"/>
      <c r="E684"/>
      <c r="F684"/>
      <c r="H684"/>
      <c r="I684"/>
    </row>
    <row r="685" spans="4:9" s="40" customFormat="1" outlineLevel="2" x14ac:dyDescent="0.25">
      <c r="D685" s="46"/>
      <c r="E685" s="46"/>
      <c r="F685" s="46"/>
      <c r="H685" s="43"/>
      <c r="I685" s="54"/>
    </row>
    <row r="686" spans="4:9" outlineLevel="3" x14ac:dyDescent="0.25">
      <c r="D686"/>
      <c r="E686"/>
      <c r="F686"/>
      <c r="H686"/>
      <c r="I686"/>
    </row>
    <row r="687" spans="4:9" s="40" customFormat="1" outlineLevel="2" x14ac:dyDescent="0.25">
      <c r="D687" s="46"/>
      <c r="E687" s="46"/>
      <c r="F687" s="46"/>
      <c r="H687" s="43"/>
      <c r="I687" s="54"/>
    </row>
    <row r="688" spans="4:9" outlineLevel="3" x14ac:dyDescent="0.25">
      <c r="D688"/>
      <c r="E688"/>
      <c r="F688"/>
      <c r="H688"/>
      <c r="I688"/>
    </row>
    <row r="689" spans="4:9" s="40" customFormat="1" outlineLevel="2" x14ac:dyDescent="0.25">
      <c r="D689" s="46"/>
      <c r="E689" s="46"/>
      <c r="F689" s="46"/>
      <c r="H689" s="43"/>
      <c r="I689" s="54"/>
    </row>
    <row r="690" spans="4:9" outlineLevel="3" x14ac:dyDescent="0.25">
      <c r="D690"/>
      <c r="E690"/>
      <c r="F690"/>
      <c r="H690"/>
      <c r="I690"/>
    </row>
    <row r="691" spans="4:9" s="40" customFormat="1" outlineLevel="2" x14ac:dyDescent="0.25">
      <c r="D691" s="46"/>
      <c r="E691" s="46"/>
      <c r="F691" s="46"/>
      <c r="H691" s="43"/>
      <c r="I691" s="54"/>
    </row>
    <row r="692" spans="4:9" outlineLevel="3" x14ac:dyDescent="0.25">
      <c r="D692"/>
      <c r="E692"/>
      <c r="F692"/>
      <c r="H692"/>
      <c r="I692"/>
    </row>
    <row r="693" spans="4:9" s="40" customFormat="1" outlineLevel="2" x14ac:dyDescent="0.25">
      <c r="D693" s="46"/>
      <c r="E693" s="46"/>
      <c r="F693" s="46"/>
      <c r="H693" s="43"/>
      <c r="I693" s="54"/>
    </row>
    <row r="694" spans="4:9" outlineLevel="3" x14ac:dyDescent="0.25">
      <c r="D694"/>
      <c r="E694"/>
      <c r="F694"/>
      <c r="H694"/>
      <c r="I694"/>
    </row>
    <row r="695" spans="4:9" s="40" customFormat="1" outlineLevel="2" x14ac:dyDescent="0.25">
      <c r="D695" s="46"/>
      <c r="E695" s="46"/>
      <c r="F695" s="46"/>
      <c r="H695" s="43"/>
      <c r="I695" s="54"/>
    </row>
    <row r="696" spans="4:9" outlineLevel="3" x14ac:dyDescent="0.25">
      <c r="D696"/>
      <c r="E696"/>
      <c r="F696"/>
      <c r="H696"/>
      <c r="I696"/>
    </row>
    <row r="697" spans="4:9" s="40" customFormat="1" outlineLevel="2" x14ac:dyDescent="0.25">
      <c r="D697" s="46"/>
      <c r="E697" s="46"/>
      <c r="F697" s="46"/>
      <c r="H697" s="43"/>
      <c r="I697" s="54"/>
    </row>
    <row r="698" spans="4:9" outlineLevel="3" x14ac:dyDescent="0.25">
      <c r="D698"/>
      <c r="E698"/>
      <c r="F698"/>
      <c r="H698"/>
      <c r="I698"/>
    </row>
    <row r="699" spans="4:9" s="40" customFormat="1" outlineLevel="2" x14ac:dyDescent="0.25">
      <c r="D699" s="46"/>
      <c r="E699" s="46"/>
      <c r="F699" s="46"/>
      <c r="H699" s="43"/>
      <c r="I699" s="54"/>
    </row>
    <row r="700" spans="4:9" outlineLevel="3" x14ac:dyDescent="0.25">
      <c r="D700"/>
      <c r="E700"/>
      <c r="F700"/>
      <c r="H700"/>
      <c r="I700"/>
    </row>
    <row r="701" spans="4:9" s="40" customFormat="1" outlineLevel="2" x14ac:dyDescent="0.25">
      <c r="D701" s="46"/>
      <c r="E701" s="46"/>
      <c r="F701" s="46"/>
      <c r="H701" s="43"/>
      <c r="I701" s="54"/>
    </row>
    <row r="702" spans="4:9" outlineLevel="3" x14ac:dyDescent="0.25">
      <c r="D702"/>
      <c r="E702"/>
      <c r="F702"/>
      <c r="H702"/>
      <c r="I702"/>
    </row>
    <row r="703" spans="4:9" s="40" customFormat="1" outlineLevel="2" x14ac:dyDescent="0.25">
      <c r="D703" s="46"/>
      <c r="E703" s="46"/>
      <c r="F703" s="46"/>
      <c r="H703" s="43"/>
      <c r="I703" s="54"/>
    </row>
    <row r="704" spans="4:9" outlineLevel="3" x14ac:dyDescent="0.25">
      <c r="D704"/>
      <c r="E704"/>
      <c r="F704"/>
      <c r="H704"/>
      <c r="I704"/>
    </row>
    <row r="705" spans="4:9" s="40" customFormat="1" outlineLevel="2" x14ac:dyDescent="0.25">
      <c r="D705" s="46"/>
      <c r="E705" s="46"/>
      <c r="F705" s="46"/>
      <c r="H705" s="43"/>
      <c r="I705" s="54"/>
    </row>
    <row r="706" spans="4:9" outlineLevel="3" x14ac:dyDescent="0.25">
      <c r="D706"/>
      <c r="E706"/>
      <c r="F706"/>
      <c r="H706"/>
      <c r="I706"/>
    </row>
    <row r="707" spans="4:9" s="40" customFormat="1" outlineLevel="2" x14ac:dyDescent="0.25"/>
    <row r="708" spans="4:9" outlineLevel="3" x14ac:dyDescent="0.25">
      <c r="E708" s="36"/>
    </row>
    <row r="709" spans="4:9" s="40" customFormat="1" outlineLevel="2" x14ac:dyDescent="0.25"/>
    <row r="710" spans="4:9" outlineLevel="3" x14ac:dyDescent="0.25">
      <c r="D710"/>
      <c r="E710"/>
      <c r="F710"/>
      <c r="H710"/>
      <c r="I710"/>
    </row>
    <row r="711" spans="4:9" s="40" customFormat="1" outlineLevel="2" x14ac:dyDescent="0.25">
      <c r="D711" s="46"/>
      <c r="E711" s="46"/>
      <c r="F711" s="46"/>
      <c r="H711" s="43"/>
      <c r="I711" s="54"/>
    </row>
    <row r="712" spans="4:9" outlineLevel="3" x14ac:dyDescent="0.25">
      <c r="D712"/>
      <c r="E712"/>
      <c r="F712"/>
      <c r="H712"/>
      <c r="I712" s="107"/>
    </row>
    <row r="713" spans="4:9" s="39" customFormat="1" outlineLevel="1" x14ac:dyDescent="0.25">
      <c r="D713" s="45"/>
      <c r="E713" s="45"/>
      <c r="F713" s="45"/>
      <c r="H713" s="41"/>
      <c r="I713" s="53"/>
    </row>
    <row r="714" spans="4:9" s="40" customFormat="1" outlineLevel="2" x14ac:dyDescent="0.25"/>
    <row r="715" spans="4:9" outlineLevel="3" x14ac:dyDescent="0.25">
      <c r="E715" s="36"/>
    </row>
    <row r="716" spans="4:9" s="40" customFormat="1" outlineLevel="2" x14ac:dyDescent="0.25"/>
    <row r="717" spans="4:9" outlineLevel="3" x14ac:dyDescent="0.25">
      <c r="D717"/>
      <c r="E717"/>
      <c r="F717"/>
      <c r="H717"/>
      <c r="I717"/>
    </row>
    <row r="718" spans="4:9" s="40" customFormat="1" outlineLevel="2" x14ac:dyDescent="0.25">
      <c r="D718" s="46"/>
      <c r="E718" s="46"/>
      <c r="F718" s="46"/>
      <c r="H718" s="43"/>
      <c r="I718" s="54"/>
    </row>
    <row r="719" spans="4:9" outlineLevel="3" x14ac:dyDescent="0.25">
      <c r="D719"/>
      <c r="E719"/>
      <c r="F719"/>
      <c r="H719"/>
      <c r="I719"/>
    </row>
    <row r="720" spans="4:9" s="39" customFormat="1" outlineLevel="1" x14ac:dyDescent="0.25">
      <c r="D720" s="45"/>
      <c r="E720" s="45"/>
      <c r="F720" s="45"/>
      <c r="H720" s="41"/>
      <c r="I720" s="53"/>
    </row>
    <row r="721" spans="5:5" s="40" customFormat="1" outlineLevel="2" x14ac:dyDescent="0.25"/>
    <row r="722" spans="5:5" outlineLevel="3" x14ac:dyDescent="0.25">
      <c r="E722" s="36"/>
    </row>
    <row r="723" spans="5:5" s="40" customFormat="1" outlineLevel="2" x14ac:dyDescent="0.25"/>
    <row r="724" spans="5:5" outlineLevel="3" x14ac:dyDescent="0.25">
      <c r="E724" s="36"/>
    </row>
    <row r="725" spans="5:5" s="40" customFormat="1" outlineLevel="2" x14ac:dyDescent="0.25"/>
    <row r="726" spans="5:5" outlineLevel="3" x14ac:dyDescent="0.25">
      <c r="E726" s="36"/>
    </row>
    <row r="727" spans="5:5" s="40" customFormat="1" outlineLevel="2" x14ac:dyDescent="0.25"/>
    <row r="728" spans="5:5" outlineLevel="3" x14ac:dyDescent="0.25">
      <c r="E728" s="36"/>
    </row>
    <row r="729" spans="5:5" s="40" customFormat="1" outlineLevel="2" x14ac:dyDescent="0.25"/>
    <row r="730" spans="5:5" outlineLevel="3" x14ac:dyDescent="0.25">
      <c r="E730" s="36"/>
    </row>
    <row r="731" spans="5:5" s="40" customFormat="1" outlineLevel="2" x14ac:dyDescent="0.25"/>
    <row r="732" spans="5:5" outlineLevel="3" x14ac:dyDescent="0.25">
      <c r="E732" s="36"/>
    </row>
    <row r="733" spans="5:5" s="40" customFormat="1" outlineLevel="2" x14ac:dyDescent="0.25"/>
    <row r="734" spans="5:5" outlineLevel="3" x14ac:dyDescent="0.25">
      <c r="E734" s="36"/>
    </row>
    <row r="735" spans="5:5" s="40" customFormat="1" outlineLevel="2" x14ac:dyDescent="0.25"/>
    <row r="736" spans="5:5" outlineLevel="3" x14ac:dyDescent="0.25">
      <c r="E736" s="36"/>
    </row>
    <row r="737" spans="5:5" s="40" customFormat="1" outlineLevel="2" x14ac:dyDescent="0.25"/>
    <row r="738" spans="5:5" outlineLevel="3" x14ac:dyDescent="0.25">
      <c r="E738" s="36"/>
    </row>
    <row r="739" spans="5:5" s="40" customFormat="1" outlineLevel="2" x14ac:dyDescent="0.25"/>
    <row r="740" spans="5:5" outlineLevel="3" x14ac:dyDescent="0.25">
      <c r="E740" s="36"/>
    </row>
    <row r="741" spans="5:5" s="40" customFormat="1" outlineLevel="2" x14ac:dyDescent="0.25"/>
    <row r="742" spans="5:5" outlineLevel="3" x14ac:dyDescent="0.25">
      <c r="E742" s="36"/>
    </row>
    <row r="743" spans="5:5" s="40" customFormat="1" outlineLevel="2" x14ac:dyDescent="0.25"/>
    <row r="744" spans="5:5" outlineLevel="3" x14ac:dyDescent="0.25">
      <c r="E744" s="36"/>
    </row>
    <row r="745" spans="5:5" s="40" customFormat="1" outlineLevel="2" x14ac:dyDescent="0.25"/>
    <row r="746" spans="5:5" outlineLevel="3" x14ac:dyDescent="0.25">
      <c r="E746" s="36"/>
    </row>
    <row r="747" spans="5:5" s="40" customFormat="1" outlineLevel="2" x14ac:dyDescent="0.25"/>
    <row r="748" spans="5:5" outlineLevel="3" x14ac:dyDescent="0.25">
      <c r="E748" s="36"/>
    </row>
    <row r="749" spans="5:5" s="40" customFormat="1" outlineLevel="2" x14ac:dyDescent="0.25"/>
    <row r="750" spans="5:5" outlineLevel="3" x14ac:dyDescent="0.25">
      <c r="E750" s="36"/>
    </row>
    <row r="751" spans="5:5" s="40" customFormat="1" outlineLevel="2" x14ac:dyDescent="0.25"/>
    <row r="752" spans="5:5" outlineLevel="3" x14ac:dyDescent="0.25">
      <c r="E752" s="36"/>
    </row>
    <row r="753" spans="5:5" s="40" customFormat="1" outlineLevel="2" x14ac:dyDescent="0.25"/>
    <row r="754" spans="5:5" outlineLevel="3" x14ac:dyDescent="0.25">
      <c r="E754" s="36"/>
    </row>
    <row r="755" spans="5:5" s="40" customFormat="1" outlineLevel="2" x14ac:dyDescent="0.25"/>
    <row r="756" spans="5:5" outlineLevel="3" x14ac:dyDescent="0.25">
      <c r="E756" s="36"/>
    </row>
    <row r="757" spans="5:5" s="40" customFormat="1" outlineLevel="2" x14ac:dyDescent="0.25"/>
    <row r="758" spans="5:5" outlineLevel="3" x14ac:dyDescent="0.25">
      <c r="E758" s="36"/>
    </row>
    <row r="759" spans="5:5" s="40" customFormat="1" outlineLevel="2" x14ac:dyDescent="0.25"/>
    <row r="760" spans="5:5" outlineLevel="3" x14ac:dyDescent="0.25">
      <c r="E760" s="36"/>
    </row>
    <row r="761" spans="5:5" s="40" customFormat="1" outlineLevel="2" x14ac:dyDescent="0.25"/>
    <row r="762" spans="5:5" outlineLevel="3" x14ac:dyDescent="0.25">
      <c r="E762" s="36"/>
    </row>
    <row r="763" spans="5:5" s="40" customFormat="1" outlineLevel="2" x14ac:dyDescent="0.25"/>
    <row r="764" spans="5:5" outlineLevel="3" x14ac:dyDescent="0.25">
      <c r="E764" s="36"/>
    </row>
    <row r="765" spans="5:5" s="40" customFormat="1" outlineLevel="2" x14ac:dyDescent="0.25"/>
    <row r="766" spans="5:5" outlineLevel="3" x14ac:dyDescent="0.25">
      <c r="E766" s="36"/>
    </row>
    <row r="767" spans="5:5" s="40" customFormat="1" outlineLevel="2" x14ac:dyDescent="0.25"/>
    <row r="768" spans="5:5" outlineLevel="3" x14ac:dyDescent="0.25">
      <c r="E768" s="36"/>
    </row>
    <row r="769" spans="5:5" s="40" customFormat="1" outlineLevel="2" x14ac:dyDescent="0.25"/>
    <row r="770" spans="5:5" outlineLevel="3" x14ac:dyDescent="0.25">
      <c r="E770" s="36"/>
    </row>
    <row r="771" spans="5:5" s="40" customFormat="1" outlineLevel="2" x14ac:dyDescent="0.25"/>
    <row r="772" spans="5:5" outlineLevel="3" x14ac:dyDescent="0.25">
      <c r="E772" s="36"/>
    </row>
    <row r="773" spans="5:5" s="40" customFormat="1" outlineLevel="2" x14ac:dyDescent="0.25"/>
    <row r="774" spans="5:5" outlineLevel="3" x14ac:dyDescent="0.25">
      <c r="E774" s="36"/>
    </row>
    <row r="775" spans="5:5" s="40" customFormat="1" outlineLevel="2" x14ac:dyDescent="0.25"/>
    <row r="776" spans="5:5" outlineLevel="3" x14ac:dyDescent="0.25">
      <c r="E776" s="36"/>
    </row>
    <row r="777" spans="5:5" s="40" customFormat="1" outlineLevel="2" x14ac:dyDescent="0.25"/>
    <row r="778" spans="5:5" outlineLevel="3" x14ac:dyDescent="0.25">
      <c r="E778" s="36"/>
    </row>
    <row r="779" spans="5:5" s="40" customFormat="1" outlineLevel="2" x14ac:dyDescent="0.25"/>
    <row r="780" spans="5:5" outlineLevel="3" x14ac:dyDescent="0.25">
      <c r="E780" s="36"/>
    </row>
    <row r="781" spans="5:5" s="40" customFormat="1" outlineLevel="2" x14ac:dyDescent="0.25"/>
    <row r="782" spans="5:5" outlineLevel="3" x14ac:dyDescent="0.25">
      <c r="E782" s="36"/>
    </row>
    <row r="783" spans="5:5" s="40" customFormat="1" outlineLevel="2" x14ac:dyDescent="0.25"/>
    <row r="784" spans="5:5" outlineLevel="3" x14ac:dyDescent="0.25">
      <c r="E784" s="36"/>
    </row>
    <row r="785" spans="4:9" s="40" customFormat="1" outlineLevel="2" x14ac:dyDescent="0.25"/>
    <row r="786" spans="4:9" outlineLevel="3" x14ac:dyDescent="0.25">
      <c r="E786" s="36"/>
    </row>
    <row r="787" spans="4:9" s="40" customFormat="1" outlineLevel="2" x14ac:dyDescent="0.25"/>
    <row r="788" spans="4:9" outlineLevel="3" x14ac:dyDescent="0.25">
      <c r="E788" s="36"/>
    </row>
    <row r="789" spans="4:9" s="40" customFormat="1" outlineLevel="2" x14ac:dyDescent="0.25"/>
    <row r="790" spans="4:9" outlineLevel="3" x14ac:dyDescent="0.25">
      <c r="E790" s="36"/>
    </row>
    <row r="791" spans="4:9" s="40" customFormat="1" outlineLevel="2" x14ac:dyDescent="0.25"/>
    <row r="792" spans="4:9" outlineLevel="3" x14ac:dyDescent="0.25">
      <c r="E792" s="36"/>
    </row>
    <row r="793" spans="4:9" s="40" customFormat="1" outlineLevel="2" x14ac:dyDescent="0.25"/>
    <row r="794" spans="4:9" outlineLevel="3" x14ac:dyDescent="0.25">
      <c r="E794" s="36"/>
    </row>
    <row r="795" spans="4:9" s="40" customFormat="1" outlineLevel="2" x14ac:dyDescent="0.25"/>
    <row r="796" spans="4:9" outlineLevel="3" x14ac:dyDescent="0.25">
      <c r="E796" s="36"/>
    </row>
    <row r="797" spans="4:9" s="40" customFormat="1" outlineLevel="2" x14ac:dyDescent="0.25"/>
    <row r="798" spans="4:9" outlineLevel="3" x14ac:dyDescent="0.25">
      <c r="E798" s="36"/>
    </row>
    <row r="799" spans="4:9" s="40" customFormat="1" outlineLevel="2" x14ac:dyDescent="0.25"/>
    <row r="800" spans="4:9" outlineLevel="3" x14ac:dyDescent="0.25">
      <c r="D800"/>
      <c r="E800"/>
      <c r="F800"/>
      <c r="H800"/>
      <c r="I800"/>
    </row>
    <row r="801" spans="4:9" s="40" customFormat="1" outlineLevel="2" x14ac:dyDescent="0.25">
      <c r="D801" s="46"/>
      <c r="E801" s="46"/>
      <c r="F801" s="46"/>
      <c r="H801" s="43"/>
      <c r="I801" s="54"/>
    </row>
    <row r="802" spans="4:9" outlineLevel="3" x14ac:dyDescent="0.25">
      <c r="D802"/>
      <c r="E802"/>
      <c r="F802"/>
      <c r="H802"/>
      <c r="I802"/>
    </row>
    <row r="803" spans="4:9" s="39" customFormat="1" outlineLevel="1" x14ac:dyDescent="0.25"/>
    <row r="804" spans="4:9" s="40" customFormat="1" outlineLevel="2" x14ac:dyDescent="0.25">
      <c r="D804" s="46"/>
      <c r="E804" s="46"/>
      <c r="F804" s="46"/>
      <c r="H804" s="43"/>
      <c r="I804" s="54"/>
    </row>
    <row r="805" spans="4:9" outlineLevel="3" x14ac:dyDescent="0.25">
      <c r="D805"/>
      <c r="E805"/>
      <c r="F805"/>
      <c r="H805"/>
      <c r="I805"/>
    </row>
    <row r="806" spans="4:9" s="40" customFormat="1" outlineLevel="2" x14ac:dyDescent="0.25">
      <c r="D806" s="46"/>
      <c r="E806" s="46"/>
      <c r="F806" s="46"/>
      <c r="H806" s="43"/>
      <c r="I806" s="54"/>
    </row>
    <row r="807" spans="4:9" outlineLevel="3" x14ac:dyDescent="0.25"/>
  </sheetData>
  <autoFilter ref="A1:I687" xr:uid="{9DE008A4-3380-4B24-A71E-C7DDDC22CE3C}"/>
  <conditionalFormatting sqref="C48">
    <cfRule type="expression" dxfId="3" priority="1">
      <formula>$H54="FDMxx"</formula>
    </cfRule>
    <cfRule type="expression" dxfId="2" priority="2">
      <formula>$H54="FDCxx"</formula>
    </cfRule>
  </conditionalFormatting>
  <conditionalFormatting sqref="I2:I688">
    <cfRule type="duplicateValues" dxfId="1" priority="5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1EF81-F5F3-4FF7-A866-DA6BD7AAEC28}">
  <sheetPr codeName="Feuil4"/>
  <dimension ref="A1:AC103"/>
  <sheetViews>
    <sheetView zoomScale="70" zoomScaleNormal="70" workbookViewId="0">
      <pane ySplit="4" topLeftCell="A5" activePane="bottomLeft" state="frozen"/>
      <selection pane="bottomLeft" activeCell="K10" sqref="K10"/>
    </sheetView>
  </sheetViews>
  <sheetFormatPr baseColWidth="10" defaultRowHeight="15" x14ac:dyDescent="0.25"/>
  <cols>
    <col min="1" max="19" width="9.7109375" style="16" customWidth="1"/>
    <col min="20" max="20" width="3.28515625" style="16" customWidth="1"/>
    <col min="21" max="21" width="12.140625" style="16" customWidth="1"/>
    <col min="22" max="22" width="3.28515625" style="16" customWidth="1"/>
    <col min="23" max="24" width="9.7109375" style="16" customWidth="1"/>
    <col min="25" max="27" width="9.7109375" style="11" customWidth="1"/>
    <col min="28" max="28" width="3.28515625" style="11" customWidth="1"/>
    <col min="29" max="16384" width="11.42578125" style="11"/>
  </cols>
  <sheetData>
    <row r="1" spans="1:29" ht="16.5" thickBot="1" x14ac:dyDescent="0.3">
      <c r="A1" s="116" t="s">
        <v>104</v>
      </c>
      <c r="B1" s="84"/>
      <c r="C1" s="84"/>
      <c r="D1" s="84"/>
      <c r="E1" s="84"/>
      <c r="F1" s="84"/>
      <c r="G1" s="84"/>
    </row>
    <row r="2" spans="1:29" ht="22.5" customHeight="1" x14ac:dyDescent="0.25">
      <c r="A2" s="133" t="str">
        <f>Z5</f>
        <v>19901</v>
      </c>
      <c r="B2" s="134" t="str">
        <f>Z6</f>
        <v>19801</v>
      </c>
      <c r="C2" s="134" t="str">
        <f>Z7</f>
        <v>19701</v>
      </c>
      <c r="D2" s="134" t="str">
        <f>Z8</f>
        <v>19601</v>
      </c>
      <c r="E2" s="134" t="str">
        <f>Z9</f>
        <v>19501</v>
      </c>
      <c r="F2" s="134" t="str">
        <f>Z10</f>
        <v>19401</v>
      </c>
      <c r="G2" s="134" t="str">
        <f>Z11</f>
        <v>19301</v>
      </c>
      <c r="H2" s="134" t="str">
        <f>Z12</f>
        <v>19201</v>
      </c>
      <c r="I2" s="134" t="str">
        <f>Z13</f>
        <v>19101</v>
      </c>
      <c r="J2" s="134" t="str">
        <f>Z14</f>
        <v>11001</v>
      </c>
      <c r="K2" s="134" t="str">
        <f>Z15</f>
        <v>11101</v>
      </c>
      <c r="L2" s="134" t="str">
        <f>Z16</f>
        <v>11201</v>
      </c>
      <c r="M2" s="134" t="str">
        <f>Z17</f>
        <v>11301</v>
      </c>
      <c r="N2" s="134" t="str">
        <f>Z18</f>
        <v>11401</v>
      </c>
      <c r="O2" s="134" t="str">
        <f>Z19</f>
        <v>11501</v>
      </c>
      <c r="P2" s="134" t="str">
        <f>Z20</f>
        <v>11601</v>
      </c>
      <c r="Q2" s="134" t="str">
        <f>Z21</f>
        <v>11701</v>
      </c>
      <c r="R2" s="134" t="str">
        <f>Z22</f>
        <v>11801</v>
      </c>
      <c r="S2" s="135" t="str">
        <f>Z23</f>
        <v>11901</v>
      </c>
      <c r="T2" s="130"/>
      <c r="W2" s="117">
        <v>1</v>
      </c>
      <c r="X2" s="84" t="s">
        <v>159</v>
      </c>
      <c r="Y2" s="10"/>
      <c r="Z2" s="10"/>
      <c r="AA2" s="117">
        <v>98</v>
      </c>
      <c r="AC2" s="11" t="s">
        <v>160</v>
      </c>
    </row>
    <row r="3" spans="1:29" ht="22.5" customHeight="1" thickBot="1" x14ac:dyDescent="0.3">
      <c r="A3" s="136">
        <f t="shared" ref="A3:S3" si="0">A2+celLimits</f>
        <v>19999</v>
      </c>
      <c r="B3" s="137">
        <f t="shared" si="0"/>
        <v>19899</v>
      </c>
      <c r="C3" s="137">
        <f t="shared" si="0"/>
        <v>19799</v>
      </c>
      <c r="D3" s="137">
        <f t="shared" si="0"/>
        <v>19699</v>
      </c>
      <c r="E3" s="137">
        <f t="shared" si="0"/>
        <v>19599</v>
      </c>
      <c r="F3" s="137">
        <f t="shared" si="0"/>
        <v>19499</v>
      </c>
      <c r="G3" s="137">
        <f t="shared" si="0"/>
        <v>19399</v>
      </c>
      <c r="H3" s="137">
        <f t="shared" si="0"/>
        <v>19299</v>
      </c>
      <c r="I3" s="137">
        <f t="shared" si="0"/>
        <v>19199</v>
      </c>
      <c r="J3" s="137">
        <f t="shared" si="0"/>
        <v>11099</v>
      </c>
      <c r="K3" s="137">
        <f t="shared" si="0"/>
        <v>11199</v>
      </c>
      <c r="L3" s="137">
        <f t="shared" si="0"/>
        <v>11299</v>
      </c>
      <c r="M3" s="137">
        <f t="shared" si="0"/>
        <v>11399</v>
      </c>
      <c r="N3" s="137">
        <f t="shared" si="0"/>
        <v>11499</v>
      </c>
      <c r="O3" s="137">
        <f t="shared" si="0"/>
        <v>11599</v>
      </c>
      <c r="P3" s="137">
        <f t="shared" si="0"/>
        <v>11699</v>
      </c>
      <c r="Q3" s="137">
        <f t="shared" si="0"/>
        <v>11799</v>
      </c>
      <c r="R3" s="137">
        <f t="shared" si="0"/>
        <v>11899</v>
      </c>
      <c r="S3" s="138">
        <f t="shared" si="0"/>
        <v>11999</v>
      </c>
      <c r="T3" s="130"/>
      <c r="W3" s="84" t="s">
        <v>163</v>
      </c>
      <c r="Z3" s="12" t="s">
        <v>165</v>
      </c>
    </row>
    <row r="4" spans="1:29" s="10" customFormat="1" ht="22.5" customHeight="1" thickBot="1" x14ac:dyDescent="0.3">
      <c r="A4" s="139">
        <v>-9</v>
      </c>
      <c r="B4" s="140">
        <v>-8</v>
      </c>
      <c r="C4" s="140">
        <v>-7</v>
      </c>
      <c r="D4" s="140">
        <v>-6</v>
      </c>
      <c r="E4" s="140">
        <v>-5</v>
      </c>
      <c r="F4" s="140">
        <v>-4</v>
      </c>
      <c r="G4" s="140">
        <v>-3</v>
      </c>
      <c r="H4" s="140">
        <v>-2</v>
      </c>
      <c r="I4" s="140">
        <v>-1</v>
      </c>
      <c r="J4" s="140">
        <v>0</v>
      </c>
      <c r="K4" s="140">
        <v>1</v>
      </c>
      <c r="L4" s="140">
        <v>2</v>
      </c>
      <c r="M4" s="140">
        <v>3</v>
      </c>
      <c r="N4" s="140">
        <v>4</v>
      </c>
      <c r="O4" s="140">
        <v>5</v>
      </c>
      <c r="P4" s="140">
        <v>6</v>
      </c>
      <c r="Q4" s="140">
        <v>7</v>
      </c>
      <c r="R4" s="140">
        <v>8</v>
      </c>
      <c r="S4" s="141">
        <v>9</v>
      </c>
      <c r="T4" s="130"/>
      <c r="U4" s="75"/>
      <c r="V4" s="116"/>
      <c r="W4" s="118" t="s">
        <v>105</v>
      </c>
      <c r="X4" s="119" t="s">
        <v>106</v>
      </c>
      <c r="Y4" s="120" t="s">
        <v>107</v>
      </c>
      <c r="Z4" s="120" t="s">
        <v>108</v>
      </c>
      <c r="AA4" s="121" t="s">
        <v>109</v>
      </c>
    </row>
    <row r="5" spans="1:29" ht="15.75" x14ac:dyDescent="0.25">
      <c r="A5" s="142" t="str">
        <f t="shared" ref="A5:S5" si="1">A2</f>
        <v>19901</v>
      </c>
      <c r="B5" s="142" t="str">
        <f t="shared" si="1"/>
        <v>19801</v>
      </c>
      <c r="C5" s="142" t="str">
        <f t="shared" si="1"/>
        <v>19701</v>
      </c>
      <c r="D5" s="142" t="str">
        <f t="shared" si="1"/>
        <v>19601</v>
      </c>
      <c r="E5" s="142" t="str">
        <f t="shared" si="1"/>
        <v>19501</v>
      </c>
      <c r="F5" s="142" t="str">
        <f t="shared" si="1"/>
        <v>19401</v>
      </c>
      <c r="G5" s="142" t="str">
        <f t="shared" si="1"/>
        <v>19301</v>
      </c>
      <c r="H5" s="142" t="str">
        <f t="shared" si="1"/>
        <v>19201</v>
      </c>
      <c r="I5" s="142" t="str">
        <f t="shared" ref="I5:O5" si="2">I2</f>
        <v>19101</v>
      </c>
      <c r="J5" s="142" t="str">
        <f t="shared" si="2"/>
        <v>11001</v>
      </c>
      <c r="K5" s="142" t="str">
        <f t="shared" si="2"/>
        <v>11101</v>
      </c>
      <c r="L5" s="142" t="str">
        <f t="shared" si="2"/>
        <v>11201</v>
      </c>
      <c r="M5" s="142" t="str">
        <f t="shared" si="2"/>
        <v>11301</v>
      </c>
      <c r="N5" s="142" t="str">
        <f t="shared" si="2"/>
        <v>11401</v>
      </c>
      <c r="O5" s="142" t="str">
        <f t="shared" si="2"/>
        <v>11501</v>
      </c>
      <c r="P5" s="142" t="str">
        <f t="shared" si="1"/>
        <v>11601</v>
      </c>
      <c r="Q5" s="142" t="str">
        <f t="shared" si="1"/>
        <v>11701</v>
      </c>
      <c r="R5" s="142" t="str">
        <f t="shared" si="1"/>
        <v>11801</v>
      </c>
      <c r="S5" s="142" t="str">
        <f t="shared" si="1"/>
        <v>11901</v>
      </c>
      <c r="T5" s="130"/>
      <c r="V5" s="116"/>
      <c r="W5" s="122">
        <v>1</v>
      </c>
      <c r="X5" s="123">
        <v>9</v>
      </c>
      <c r="Y5" s="61">
        <v>9</v>
      </c>
      <c r="Z5" s="61" t="str">
        <f t="shared" ref="Z5:Z11" si="3">W5&amp;X5&amp;Y5&amp;"01"</f>
        <v>19901</v>
      </c>
      <c r="AA5" s="124">
        <f t="shared" ref="AA5:AA23" si="4">Z5+celLimits</f>
        <v>19999</v>
      </c>
    </row>
    <row r="6" spans="1:29" ht="15.75" x14ac:dyDescent="0.25">
      <c r="A6" s="143">
        <f t="shared" ref="A6:S21" si="5">A5+1</f>
        <v>19902</v>
      </c>
      <c r="B6" s="143">
        <f t="shared" si="5"/>
        <v>19802</v>
      </c>
      <c r="C6" s="143">
        <f t="shared" si="5"/>
        <v>19702</v>
      </c>
      <c r="D6" s="143">
        <f t="shared" si="5"/>
        <v>19602</v>
      </c>
      <c r="E6" s="143">
        <f t="shared" si="5"/>
        <v>19502</v>
      </c>
      <c r="F6" s="143">
        <f t="shared" si="5"/>
        <v>19402</v>
      </c>
      <c r="G6" s="143">
        <f t="shared" si="5"/>
        <v>19302</v>
      </c>
      <c r="H6" s="143">
        <f t="shared" si="5"/>
        <v>19202</v>
      </c>
      <c r="I6" s="143">
        <f t="shared" si="5"/>
        <v>19102</v>
      </c>
      <c r="J6" s="143">
        <f t="shared" si="5"/>
        <v>11002</v>
      </c>
      <c r="K6" s="143">
        <f t="shared" si="5"/>
        <v>11102</v>
      </c>
      <c r="L6" s="143">
        <f t="shared" si="5"/>
        <v>11202</v>
      </c>
      <c r="M6" s="143">
        <f t="shared" si="5"/>
        <v>11302</v>
      </c>
      <c r="N6" s="143">
        <f t="shared" si="5"/>
        <v>11402</v>
      </c>
      <c r="O6" s="143">
        <f t="shared" si="5"/>
        <v>11502</v>
      </c>
      <c r="P6" s="143">
        <f t="shared" si="5"/>
        <v>11602</v>
      </c>
      <c r="Q6" s="143">
        <f t="shared" si="5"/>
        <v>11702</v>
      </c>
      <c r="R6" s="143">
        <f t="shared" si="5"/>
        <v>11802</v>
      </c>
      <c r="S6" s="143">
        <f t="shared" si="5"/>
        <v>11902</v>
      </c>
      <c r="T6" s="130"/>
      <c r="V6" s="116"/>
      <c r="W6" s="122">
        <f t="shared" ref="W6:W23" si="6">celArea</f>
        <v>1</v>
      </c>
      <c r="X6" s="123">
        <v>9</v>
      </c>
      <c r="Y6" s="61">
        <v>8</v>
      </c>
      <c r="Z6" s="61" t="str">
        <f t="shared" si="3"/>
        <v>19801</v>
      </c>
      <c r="AA6" s="124">
        <f t="shared" si="4"/>
        <v>19899</v>
      </c>
    </row>
    <row r="7" spans="1:29" ht="15.75" x14ac:dyDescent="0.25">
      <c r="A7" s="143">
        <f t="shared" ref="A7:D70" si="7">A6+1</f>
        <v>19903</v>
      </c>
      <c r="B7" s="143">
        <f t="shared" si="7"/>
        <v>19803</v>
      </c>
      <c r="C7" s="143">
        <f t="shared" si="7"/>
        <v>19703</v>
      </c>
      <c r="D7" s="143">
        <f t="shared" si="7"/>
        <v>19603</v>
      </c>
      <c r="E7" s="143">
        <f t="shared" ref="E7:H70" si="8">E6+1</f>
        <v>19503</v>
      </c>
      <c r="F7" s="143">
        <f t="shared" si="8"/>
        <v>19403</v>
      </c>
      <c r="G7" s="143">
        <f t="shared" si="8"/>
        <v>19303</v>
      </c>
      <c r="H7" s="143">
        <f t="shared" si="8"/>
        <v>19203</v>
      </c>
      <c r="I7" s="143">
        <f t="shared" si="5"/>
        <v>19103</v>
      </c>
      <c r="J7" s="143">
        <f t="shared" si="5"/>
        <v>11003</v>
      </c>
      <c r="K7" s="143">
        <f t="shared" si="5"/>
        <v>11103</v>
      </c>
      <c r="L7" s="143">
        <f t="shared" si="5"/>
        <v>11203</v>
      </c>
      <c r="M7" s="143">
        <f t="shared" si="5"/>
        <v>11303</v>
      </c>
      <c r="N7" s="143">
        <f t="shared" si="5"/>
        <v>11403</v>
      </c>
      <c r="O7" s="143">
        <f t="shared" si="5"/>
        <v>11503</v>
      </c>
      <c r="P7" s="143">
        <f t="shared" ref="M7:P70" si="9">P6+1</f>
        <v>11603</v>
      </c>
      <c r="Q7" s="143">
        <f t="shared" ref="Q7:S70" si="10">Q6+1</f>
        <v>11703</v>
      </c>
      <c r="R7" s="143">
        <f t="shared" si="10"/>
        <v>11803</v>
      </c>
      <c r="S7" s="143">
        <f t="shared" si="10"/>
        <v>11903</v>
      </c>
      <c r="T7" s="130"/>
      <c r="V7" s="116"/>
      <c r="W7" s="122">
        <f t="shared" si="6"/>
        <v>1</v>
      </c>
      <c r="X7" s="123">
        <v>9</v>
      </c>
      <c r="Y7" s="61">
        <v>7</v>
      </c>
      <c r="Z7" s="61" t="str">
        <f t="shared" si="3"/>
        <v>19701</v>
      </c>
      <c r="AA7" s="124">
        <f t="shared" si="4"/>
        <v>19799</v>
      </c>
    </row>
    <row r="8" spans="1:29" ht="15.75" x14ac:dyDescent="0.25">
      <c r="A8" s="143">
        <f t="shared" si="7"/>
        <v>19904</v>
      </c>
      <c r="B8" s="143">
        <f t="shared" si="7"/>
        <v>19804</v>
      </c>
      <c r="C8" s="143">
        <f t="shared" si="7"/>
        <v>19704</v>
      </c>
      <c r="D8" s="143">
        <f t="shared" si="7"/>
        <v>19604</v>
      </c>
      <c r="E8" s="143">
        <f t="shared" si="8"/>
        <v>19504</v>
      </c>
      <c r="F8" s="143">
        <f t="shared" si="8"/>
        <v>19404</v>
      </c>
      <c r="G8" s="143">
        <f t="shared" si="8"/>
        <v>19304</v>
      </c>
      <c r="H8" s="143">
        <f t="shared" si="8"/>
        <v>19204</v>
      </c>
      <c r="I8" s="143">
        <f t="shared" si="5"/>
        <v>19104</v>
      </c>
      <c r="J8" s="143">
        <f t="shared" si="5"/>
        <v>11004</v>
      </c>
      <c r="K8" s="143">
        <f t="shared" si="5"/>
        <v>11104</v>
      </c>
      <c r="L8" s="143">
        <f t="shared" si="5"/>
        <v>11204</v>
      </c>
      <c r="M8" s="143">
        <f t="shared" si="5"/>
        <v>11304</v>
      </c>
      <c r="N8" s="143">
        <f t="shared" si="5"/>
        <v>11404</v>
      </c>
      <c r="O8" s="143">
        <f t="shared" si="5"/>
        <v>11504</v>
      </c>
      <c r="P8" s="143">
        <f t="shared" si="9"/>
        <v>11604</v>
      </c>
      <c r="Q8" s="143">
        <f t="shared" si="10"/>
        <v>11704</v>
      </c>
      <c r="R8" s="143">
        <f t="shared" si="10"/>
        <v>11804</v>
      </c>
      <c r="S8" s="143">
        <f t="shared" si="10"/>
        <v>11904</v>
      </c>
      <c r="T8" s="13"/>
      <c r="V8" s="116"/>
      <c r="W8" s="122">
        <f t="shared" si="6"/>
        <v>1</v>
      </c>
      <c r="X8" s="123">
        <v>9</v>
      </c>
      <c r="Y8" s="61">
        <v>6</v>
      </c>
      <c r="Z8" s="61" t="str">
        <f t="shared" si="3"/>
        <v>19601</v>
      </c>
      <c r="AA8" s="124">
        <f t="shared" si="4"/>
        <v>19699</v>
      </c>
    </row>
    <row r="9" spans="1:29" ht="15.75" x14ac:dyDescent="0.25">
      <c r="A9" s="143">
        <f t="shared" si="7"/>
        <v>19905</v>
      </c>
      <c r="B9" s="143">
        <f t="shared" si="7"/>
        <v>19805</v>
      </c>
      <c r="C9" s="143">
        <f t="shared" si="7"/>
        <v>19705</v>
      </c>
      <c r="D9" s="143">
        <f t="shared" si="7"/>
        <v>19605</v>
      </c>
      <c r="E9" s="143">
        <f t="shared" si="8"/>
        <v>19505</v>
      </c>
      <c r="F9" s="143">
        <f t="shared" si="8"/>
        <v>19405</v>
      </c>
      <c r="G9" s="143">
        <f t="shared" si="8"/>
        <v>19305</v>
      </c>
      <c r="H9" s="143">
        <f t="shared" si="8"/>
        <v>19205</v>
      </c>
      <c r="I9" s="143">
        <f t="shared" si="5"/>
        <v>19105</v>
      </c>
      <c r="J9" s="143">
        <f t="shared" si="5"/>
        <v>11005</v>
      </c>
      <c r="K9" s="143">
        <f t="shared" si="5"/>
        <v>11105</v>
      </c>
      <c r="L9" s="143">
        <f t="shared" si="5"/>
        <v>11205</v>
      </c>
      <c r="M9" s="143">
        <f t="shared" si="5"/>
        <v>11305</v>
      </c>
      <c r="N9" s="143">
        <f t="shared" si="5"/>
        <v>11405</v>
      </c>
      <c r="O9" s="143">
        <f t="shared" si="5"/>
        <v>11505</v>
      </c>
      <c r="P9" s="143">
        <f t="shared" si="9"/>
        <v>11605</v>
      </c>
      <c r="Q9" s="143">
        <f t="shared" si="10"/>
        <v>11705</v>
      </c>
      <c r="R9" s="143">
        <f t="shared" si="10"/>
        <v>11805</v>
      </c>
      <c r="S9" s="143">
        <f t="shared" si="10"/>
        <v>11905</v>
      </c>
      <c r="T9" s="13"/>
      <c r="V9" s="116"/>
      <c r="W9" s="122">
        <f t="shared" si="6"/>
        <v>1</v>
      </c>
      <c r="X9" s="123">
        <v>9</v>
      </c>
      <c r="Y9" s="61">
        <v>5</v>
      </c>
      <c r="Z9" s="61" t="str">
        <f t="shared" si="3"/>
        <v>19501</v>
      </c>
      <c r="AA9" s="124">
        <f t="shared" si="4"/>
        <v>19599</v>
      </c>
    </row>
    <row r="10" spans="1:29" ht="15.75" x14ac:dyDescent="0.25">
      <c r="A10" s="143">
        <f t="shared" si="7"/>
        <v>19906</v>
      </c>
      <c r="B10" s="143">
        <f t="shared" si="7"/>
        <v>19806</v>
      </c>
      <c r="C10" s="143">
        <f t="shared" si="7"/>
        <v>19706</v>
      </c>
      <c r="D10" s="143">
        <f t="shared" si="7"/>
        <v>19606</v>
      </c>
      <c r="E10" s="143">
        <f t="shared" si="8"/>
        <v>19506</v>
      </c>
      <c r="F10" s="143">
        <f t="shared" si="8"/>
        <v>19406</v>
      </c>
      <c r="G10" s="143">
        <f t="shared" si="8"/>
        <v>19306</v>
      </c>
      <c r="H10" s="143">
        <f t="shared" si="8"/>
        <v>19206</v>
      </c>
      <c r="I10" s="143">
        <f t="shared" si="5"/>
        <v>19106</v>
      </c>
      <c r="J10" s="143">
        <f t="shared" si="5"/>
        <v>11006</v>
      </c>
      <c r="K10" s="143">
        <f t="shared" si="5"/>
        <v>11106</v>
      </c>
      <c r="L10" s="143">
        <f t="shared" si="5"/>
        <v>11206</v>
      </c>
      <c r="M10" s="143">
        <f t="shared" si="5"/>
        <v>11306</v>
      </c>
      <c r="N10" s="143">
        <f t="shared" si="5"/>
        <v>11406</v>
      </c>
      <c r="O10" s="143">
        <f t="shared" si="5"/>
        <v>11506</v>
      </c>
      <c r="P10" s="143">
        <f t="shared" si="9"/>
        <v>11606</v>
      </c>
      <c r="Q10" s="143">
        <f t="shared" si="10"/>
        <v>11706</v>
      </c>
      <c r="R10" s="143">
        <f t="shared" si="10"/>
        <v>11806</v>
      </c>
      <c r="S10" s="143">
        <f t="shared" si="10"/>
        <v>11906</v>
      </c>
      <c r="T10" s="13"/>
      <c r="V10" s="116"/>
      <c r="W10" s="122">
        <f t="shared" si="6"/>
        <v>1</v>
      </c>
      <c r="X10" s="123">
        <v>9</v>
      </c>
      <c r="Y10" s="61">
        <v>4</v>
      </c>
      <c r="Z10" s="61" t="str">
        <f t="shared" si="3"/>
        <v>19401</v>
      </c>
      <c r="AA10" s="124">
        <f t="shared" si="4"/>
        <v>19499</v>
      </c>
    </row>
    <row r="11" spans="1:29" ht="15.75" x14ac:dyDescent="0.25">
      <c r="A11" s="143">
        <f t="shared" si="7"/>
        <v>19907</v>
      </c>
      <c r="B11" s="143">
        <f t="shared" si="7"/>
        <v>19807</v>
      </c>
      <c r="C11" s="143">
        <f t="shared" si="7"/>
        <v>19707</v>
      </c>
      <c r="D11" s="143">
        <f t="shared" si="7"/>
        <v>19607</v>
      </c>
      <c r="E11" s="143">
        <f t="shared" si="8"/>
        <v>19507</v>
      </c>
      <c r="F11" s="143">
        <f t="shared" si="8"/>
        <v>19407</v>
      </c>
      <c r="G11" s="143">
        <f t="shared" si="8"/>
        <v>19307</v>
      </c>
      <c r="H11" s="143">
        <f t="shared" si="8"/>
        <v>19207</v>
      </c>
      <c r="I11" s="143">
        <f t="shared" si="5"/>
        <v>19107</v>
      </c>
      <c r="J11" s="143">
        <f t="shared" si="5"/>
        <v>11007</v>
      </c>
      <c r="K11" s="143">
        <f t="shared" si="5"/>
        <v>11107</v>
      </c>
      <c r="L11" s="143">
        <f t="shared" si="5"/>
        <v>11207</v>
      </c>
      <c r="M11" s="143">
        <f t="shared" si="5"/>
        <v>11307</v>
      </c>
      <c r="N11" s="143">
        <f t="shared" si="5"/>
        <v>11407</v>
      </c>
      <c r="O11" s="143">
        <f t="shared" si="5"/>
        <v>11507</v>
      </c>
      <c r="P11" s="143">
        <f t="shared" si="9"/>
        <v>11607</v>
      </c>
      <c r="Q11" s="143">
        <f t="shared" si="10"/>
        <v>11707</v>
      </c>
      <c r="R11" s="143">
        <f t="shared" si="10"/>
        <v>11807</v>
      </c>
      <c r="S11" s="143">
        <f t="shared" si="10"/>
        <v>11907</v>
      </c>
      <c r="T11" s="13"/>
      <c r="V11" s="116"/>
      <c r="W11" s="122">
        <f t="shared" si="6"/>
        <v>1</v>
      </c>
      <c r="X11" s="123">
        <v>9</v>
      </c>
      <c r="Y11" s="61">
        <v>3</v>
      </c>
      <c r="Z11" s="61" t="str">
        <f t="shared" si="3"/>
        <v>19301</v>
      </c>
      <c r="AA11" s="124">
        <f t="shared" si="4"/>
        <v>19399</v>
      </c>
    </row>
    <row r="12" spans="1:29" ht="15.75" x14ac:dyDescent="0.25">
      <c r="A12" s="143">
        <f t="shared" si="7"/>
        <v>19908</v>
      </c>
      <c r="B12" s="143">
        <f t="shared" si="7"/>
        <v>19808</v>
      </c>
      <c r="C12" s="143">
        <f t="shared" si="7"/>
        <v>19708</v>
      </c>
      <c r="D12" s="143">
        <f t="shared" si="7"/>
        <v>19608</v>
      </c>
      <c r="E12" s="143">
        <f t="shared" si="8"/>
        <v>19508</v>
      </c>
      <c r="F12" s="143">
        <f t="shared" si="8"/>
        <v>19408</v>
      </c>
      <c r="G12" s="143">
        <f t="shared" si="8"/>
        <v>19308</v>
      </c>
      <c r="H12" s="143">
        <f t="shared" si="8"/>
        <v>19208</v>
      </c>
      <c r="I12" s="143">
        <f t="shared" si="5"/>
        <v>19108</v>
      </c>
      <c r="J12" s="143">
        <f t="shared" si="5"/>
        <v>11008</v>
      </c>
      <c r="K12" s="143">
        <f t="shared" si="5"/>
        <v>11108</v>
      </c>
      <c r="L12" s="143">
        <f t="shared" si="5"/>
        <v>11208</v>
      </c>
      <c r="M12" s="143">
        <f t="shared" si="5"/>
        <v>11308</v>
      </c>
      <c r="N12" s="143">
        <f t="shared" si="5"/>
        <v>11408</v>
      </c>
      <c r="O12" s="143">
        <f t="shared" si="5"/>
        <v>11508</v>
      </c>
      <c r="P12" s="143">
        <f t="shared" si="9"/>
        <v>11608</v>
      </c>
      <c r="Q12" s="143">
        <f t="shared" si="10"/>
        <v>11708</v>
      </c>
      <c r="R12" s="143">
        <f t="shared" si="10"/>
        <v>11808</v>
      </c>
      <c r="S12" s="143">
        <f t="shared" si="10"/>
        <v>11908</v>
      </c>
      <c r="T12" s="13"/>
      <c r="V12" s="116"/>
      <c r="W12" s="122">
        <f t="shared" si="6"/>
        <v>1</v>
      </c>
      <c r="X12" s="123">
        <v>9</v>
      </c>
      <c r="Y12" s="61">
        <v>2</v>
      </c>
      <c r="Z12" s="61" t="str">
        <f>W12&amp;X12&amp;Y12&amp;"01"</f>
        <v>19201</v>
      </c>
      <c r="AA12" s="124">
        <f t="shared" si="4"/>
        <v>19299</v>
      </c>
    </row>
    <row r="13" spans="1:29" ht="15.75" x14ac:dyDescent="0.25">
      <c r="A13" s="143">
        <f t="shared" si="7"/>
        <v>19909</v>
      </c>
      <c r="B13" s="143">
        <f t="shared" si="7"/>
        <v>19809</v>
      </c>
      <c r="C13" s="143">
        <f t="shared" si="7"/>
        <v>19709</v>
      </c>
      <c r="D13" s="143">
        <f t="shared" si="7"/>
        <v>19609</v>
      </c>
      <c r="E13" s="143">
        <f t="shared" si="8"/>
        <v>19509</v>
      </c>
      <c r="F13" s="143">
        <f t="shared" si="8"/>
        <v>19409</v>
      </c>
      <c r="G13" s="143">
        <f t="shared" si="8"/>
        <v>19309</v>
      </c>
      <c r="H13" s="143">
        <f t="shared" si="8"/>
        <v>19209</v>
      </c>
      <c r="I13" s="143">
        <f t="shared" si="5"/>
        <v>19109</v>
      </c>
      <c r="J13" s="143">
        <f t="shared" si="5"/>
        <v>11009</v>
      </c>
      <c r="K13" s="143">
        <f t="shared" si="5"/>
        <v>11109</v>
      </c>
      <c r="L13" s="143">
        <f t="shared" si="5"/>
        <v>11209</v>
      </c>
      <c r="M13" s="143">
        <f t="shared" si="5"/>
        <v>11309</v>
      </c>
      <c r="N13" s="143">
        <f t="shared" si="5"/>
        <v>11409</v>
      </c>
      <c r="O13" s="143">
        <f t="shared" si="5"/>
        <v>11509</v>
      </c>
      <c r="P13" s="143">
        <f t="shared" si="9"/>
        <v>11609</v>
      </c>
      <c r="Q13" s="143">
        <f t="shared" si="10"/>
        <v>11709</v>
      </c>
      <c r="R13" s="143">
        <f t="shared" si="10"/>
        <v>11809</v>
      </c>
      <c r="S13" s="143">
        <f t="shared" si="10"/>
        <v>11909</v>
      </c>
      <c r="T13" s="13"/>
      <c r="V13" s="116"/>
      <c r="W13" s="122">
        <f t="shared" si="6"/>
        <v>1</v>
      </c>
      <c r="X13" s="123">
        <v>9</v>
      </c>
      <c r="Y13" s="61">
        <v>1</v>
      </c>
      <c r="Z13" s="61" t="str">
        <f t="shared" ref="Z13:Z20" si="11">W13&amp;X13&amp;Y13&amp;"01"</f>
        <v>19101</v>
      </c>
      <c r="AA13" s="124">
        <f t="shared" si="4"/>
        <v>19199</v>
      </c>
    </row>
    <row r="14" spans="1:29" ht="15.75" x14ac:dyDescent="0.25">
      <c r="A14" s="143">
        <f t="shared" si="7"/>
        <v>19910</v>
      </c>
      <c r="B14" s="143">
        <f t="shared" si="7"/>
        <v>19810</v>
      </c>
      <c r="C14" s="143">
        <f t="shared" si="7"/>
        <v>19710</v>
      </c>
      <c r="D14" s="143">
        <f t="shared" si="7"/>
        <v>19610</v>
      </c>
      <c r="E14" s="143">
        <f t="shared" si="8"/>
        <v>19510</v>
      </c>
      <c r="F14" s="143">
        <f t="shared" si="8"/>
        <v>19410</v>
      </c>
      <c r="G14" s="143">
        <f t="shared" si="8"/>
        <v>19310</v>
      </c>
      <c r="H14" s="143">
        <f t="shared" si="8"/>
        <v>19210</v>
      </c>
      <c r="I14" s="143">
        <f t="shared" si="5"/>
        <v>19110</v>
      </c>
      <c r="J14" s="143">
        <f t="shared" si="5"/>
        <v>11010</v>
      </c>
      <c r="K14" s="143">
        <f t="shared" si="5"/>
        <v>11110</v>
      </c>
      <c r="L14" s="143">
        <f t="shared" si="5"/>
        <v>11210</v>
      </c>
      <c r="M14" s="143">
        <f t="shared" si="5"/>
        <v>11310</v>
      </c>
      <c r="N14" s="143">
        <f t="shared" si="5"/>
        <v>11410</v>
      </c>
      <c r="O14" s="143">
        <f t="shared" si="5"/>
        <v>11510</v>
      </c>
      <c r="P14" s="143">
        <f t="shared" si="9"/>
        <v>11610</v>
      </c>
      <c r="Q14" s="143">
        <f t="shared" si="10"/>
        <v>11710</v>
      </c>
      <c r="R14" s="143">
        <f t="shared" si="10"/>
        <v>11810</v>
      </c>
      <c r="S14" s="143">
        <f t="shared" si="10"/>
        <v>11910</v>
      </c>
      <c r="T14" s="13"/>
      <c r="V14" s="116"/>
      <c r="W14" s="122">
        <f t="shared" si="6"/>
        <v>1</v>
      </c>
      <c r="X14" s="123">
        <v>1</v>
      </c>
      <c r="Y14" s="61">
        <v>0</v>
      </c>
      <c r="Z14" s="61" t="str">
        <f t="shared" si="11"/>
        <v>11001</v>
      </c>
      <c r="AA14" s="124">
        <f t="shared" si="4"/>
        <v>11099</v>
      </c>
    </row>
    <row r="15" spans="1:29" ht="15.75" x14ac:dyDescent="0.25">
      <c r="A15" s="143">
        <f t="shared" si="7"/>
        <v>19911</v>
      </c>
      <c r="B15" s="143">
        <f t="shared" si="7"/>
        <v>19811</v>
      </c>
      <c r="C15" s="143">
        <f t="shared" si="7"/>
        <v>19711</v>
      </c>
      <c r="D15" s="143">
        <f t="shared" si="7"/>
        <v>19611</v>
      </c>
      <c r="E15" s="143">
        <f t="shared" si="8"/>
        <v>19511</v>
      </c>
      <c r="F15" s="143">
        <f t="shared" si="8"/>
        <v>19411</v>
      </c>
      <c r="G15" s="143">
        <f t="shared" si="8"/>
        <v>19311</v>
      </c>
      <c r="H15" s="143">
        <f t="shared" si="8"/>
        <v>19211</v>
      </c>
      <c r="I15" s="143">
        <f t="shared" si="5"/>
        <v>19111</v>
      </c>
      <c r="J15" s="143">
        <f t="shared" si="5"/>
        <v>11011</v>
      </c>
      <c r="K15" s="143">
        <f t="shared" si="5"/>
        <v>11111</v>
      </c>
      <c r="L15" s="143">
        <f t="shared" si="5"/>
        <v>11211</v>
      </c>
      <c r="M15" s="143">
        <f t="shared" si="5"/>
        <v>11311</v>
      </c>
      <c r="N15" s="143">
        <f t="shared" si="5"/>
        <v>11411</v>
      </c>
      <c r="O15" s="143">
        <f t="shared" si="5"/>
        <v>11511</v>
      </c>
      <c r="P15" s="143">
        <f t="shared" si="9"/>
        <v>11611</v>
      </c>
      <c r="Q15" s="143">
        <f t="shared" si="10"/>
        <v>11711</v>
      </c>
      <c r="R15" s="143">
        <f t="shared" si="10"/>
        <v>11811</v>
      </c>
      <c r="S15" s="143">
        <f t="shared" si="10"/>
        <v>11911</v>
      </c>
      <c r="T15" s="13"/>
      <c r="V15" s="116"/>
      <c r="W15" s="122">
        <f t="shared" si="6"/>
        <v>1</v>
      </c>
      <c r="X15" s="123">
        <v>1</v>
      </c>
      <c r="Y15" s="61">
        <v>1</v>
      </c>
      <c r="Z15" s="61" t="str">
        <f t="shared" si="11"/>
        <v>11101</v>
      </c>
      <c r="AA15" s="124">
        <f t="shared" si="4"/>
        <v>11199</v>
      </c>
    </row>
    <row r="16" spans="1:29" ht="15.75" x14ac:dyDescent="0.25">
      <c r="A16" s="143">
        <f t="shared" si="7"/>
        <v>19912</v>
      </c>
      <c r="B16" s="143">
        <f t="shared" si="7"/>
        <v>19812</v>
      </c>
      <c r="C16" s="143">
        <f t="shared" si="7"/>
        <v>19712</v>
      </c>
      <c r="D16" s="143">
        <f t="shared" si="7"/>
        <v>19612</v>
      </c>
      <c r="E16" s="143">
        <f t="shared" si="8"/>
        <v>19512</v>
      </c>
      <c r="F16" s="143">
        <f t="shared" si="8"/>
        <v>19412</v>
      </c>
      <c r="G16" s="143">
        <f t="shared" si="8"/>
        <v>19312</v>
      </c>
      <c r="H16" s="143">
        <f t="shared" si="8"/>
        <v>19212</v>
      </c>
      <c r="I16" s="143">
        <f t="shared" si="5"/>
        <v>19112</v>
      </c>
      <c r="J16" s="143">
        <f t="shared" si="5"/>
        <v>11012</v>
      </c>
      <c r="K16" s="143">
        <f t="shared" si="5"/>
        <v>11112</v>
      </c>
      <c r="L16" s="143">
        <f t="shared" si="5"/>
        <v>11212</v>
      </c>
      <c r="M16" s="143">
        <f t="shared" si="5"/>
        <v>11312</v>
      </c>
      <c r="N16" s="143">
        <f t="shared" si="5"/>
        <v>11412</v>
      </c>
      <c r="O16" s="143">
        <f t="shared" si="5"/>
        <v>11512</v>
      </c>
      <c r="P16" s="143">
        <f t="shared" si="9"/>
        <v>11612</v>
      </c>
      <c r="Q16" s="143">
        <f t="shared" si="10"/>
        <v>11712</v>
      </c>
      <c r="R16" s="143">
        <f t="shared" si="10"/>
        <v>11812</v>
      </c>
      <c r="S16" s="143">
        <f t="shared" si="10"/>
        <v>11912</v>
      </c>
      <c r="T16" s="13"/>
      <c r="V16" s="116"/>
      <c r="W16" s="122">
        <f t="shared" si="6"/>
        <v>1</v>
      </c>
      <c r="X16" s="123">
        <v>1</v>
      </c>
      <c r="Y16" s="61">
        <v>2</v>
      </c>
      <c r="Z16" s="61" t="str">
        <f t="shared" si="11"/>
        <v>11201</v>
      </c>
      <c r="AA16" s="124">
        <f t="shared" si="4"/>
        <v>11299</v>
      </c>
    </row>
    <row r="17" spans="1:27" ht="15.75" x14ac:dyDescent="0.25">
      <c r="A17" s="143">
        <f t="shared" si="7"/>
        <v>19913</v>
      </c>
      <c r="B17" s="143">
        <f t="shared" si="7"/>
        <v>19813</v>
      </c>
      <c r="C17" s="143">
        <f t="shared" si="7"/>
        <v>19713</v>
      </c>
      <c r="D17" s="143">
        <f t="shared" si="7"/>
        <v>19613</v>
      </c>
      <c r="E17" s="143">
        <f t="shared" si="8"/>
        <v>19513</v>
      </c>
      <c r="F17" s="143">
        <f t="shared" si="8"/>
        <v>19413</v>
      </c>
      <c r="G17" s="143">
        <f t="shared" si="8"/>
        <v>19313</v>
      </c>
      <c r="H17" s="143">
        <f t="shared" si="8"/>
        <v>19213</v>
      </c>
      <c r="I17" s="143">
        <f t="shared" si="5"/>
        <v>19113</v>
      </c>
      <c r="J17" s="143">
        <f t="shared" si="5"/>
        <v>11013</v>
      </c>
      <c r="K17" s="143">
        <f t="shared" si="5"/>
        <v>11113</v>
      </c>
      <c r="L17" s="143">
        <f t="shared" si="5"/>
        <v>11213</v>
      </c>
      <c r="M17" s="143">
        <f t="shared" si="5"/>
        <v>11313</v>
      </c>
      <c r="N17" s="143">
        <f t="shared" si="5"/>
        <v>11413</v>
      </c>
      <c r="O17" s="143">
        <f t="shared" si="5"/>
        <v>11513</v>
      </c>
      <c r="P17" s="143">
        <f t="shared" si="9"/>
        <v>11613</v>
      </c>
      <c r="Q17" s="143">
        <f t="shared" si="10"/>
        <v>11713</v>
      </c>
      <c r="R17" s="143">
        <f t="shared" si="10"/>
        <v>11813</v>
      </c>
      <c r="S17" s="143">
        <f t="shared" si="10"/>
        <v>11913</v>
      </c>
      <c r="T17" s="13"/>
      <c r="V17" s="116"/>
      <c r="W17" s="122">
        <f t="shared" si="6"/>
        <v>1</v>
      </c>
      <c r="X17" s="123">
        <v>1</v>
      </c>
      <c r="Y17" s="61">
        <v>3</v>
      </c>
      <c r="Z17" s="61" t="str">
        <f t="shared" si="11"/>
        <v>11301</v>
      </c>
      <c r="AA17" s="124">
        <f t="shared" si="4"/>
        <v>11399</v>
      </c>
    </row>
    <row r="18" spans="1:27" ht="15.75" x14ac:dyDescent="0.25">
      <c r="A18" s="143">
        <f t="shared" si="7"/>
        <v>19914</v>
      </c>
      <c r="B18" s="143">
        <f t="shared" si="7"/>
        <v>19814</v>
      </c>
      <c r="C18" s="143">
        <f t="shared" si="7"/>
        <v>19714</v>
      </c>
      <c r="D18" s="143">
        <f t="shared" si="7"/>
        <v>19614</v>
      </c>
      <c r="E18" s="143">
        <f t="shared" si="8"/>
        <v>19514</v>
      </c>
      <c r="F18" s="143">
        <f t="shared" si="8"/>
        <v>19414</v>
      </c>
      <c r="G18" s="143">
        <f t="shared" si="8"/>
        <v>19314</v>
      </c>
      <c r="H18" s="143">
        <f t="shared" si="8"/>
        <v>19214</v>
      </c>
      <c r="I18" s="143">
        <f t="shared" si="5"/>
        <v>19114</v>
      </c>
      <c r="J18" s="143">
        <f t="shared" si="5"/>
        <v>11014</v>
      </c>
      <c r="K18" s="143">
        <f t="shared" si="5"/>
        <v>11114</v>
      </c>
      <c r="L18" s="143">
        <f t="shared" si="5"/>
        <v>11214</v>
      </c>
      <c r="M18" s="143">
        <f t="shared" si="5"/>
        <v>11314</v>
      </c>
      <c r="N18" s="143">
        <f t="shared" si="5"/>
        <v>11414</v>
      </c>
      <c r="O18" s="143">
        <f t="shared" si="5"/>
        <v>11514</v>
      </c>
      <c r="P18" s="143">
        <f t="shared" si="9"/>
        <v>11614</v>
      </c>
      <c r="Q18" s="143">
        <f t="shared" si="10"/>
        <v>11714</v>
      </c>
      <c r="R18" s="143">
        <f t="shared" si="10"/>
        <v>11814</v>
      </c>
      <c r="S18" s="143">
        <f t="shared" si="10"/>
        <v>11914</v>
      </c>
      <c r="T18" s="13"/>
      <c r="V18" s="116"/>
      <c r="W18" s="122">
        <f t="shared" si="6"/>
        <v>1</v>
      </c>
      <c r="X18" s="123">
        <v>1</v>
      </c>
      <c r="Y18" s="61">
        <v>4</v>
      </c>
      <c r="Z18" s="61" t="str">
        <f t="shared" si="11"/>
        <v>11401</v>
      </c>
      <c r="AA18" s="124">
        <f t="shared" si="4"/>
        <v>11499</v>
      </c>
    </row>
    <row r="19" spans="1:27" ht="15.75" x14ac:dyDescent="0.25">
      <c r="A19" s="143">
        <f t="shared" si="7"/>
        <v>19915</v>
      </c>
      <c r="B19" s="143">
        <f t="shared" si="7"/>
        <v>19815</v>
      </c>
      <c r="C19" s="143">
        <f t="shared" si="7"/>
        <v>19715</v>
      </c>
      <c r="D19" s="143">
        <f t="shared" si="7"/>
        <v>19615</v>
      </c>
      <c r="E19" s="143">
        <f t="shared" si="8"/>
        <v>19515</v>
      </c>
      <c r="F19" s="143">
        <f t="shared" si="8"/>
        <v>19415</v>
      </c>
      <c r="G19" s="143">
        <f t="shared" si="8"/>
        <v>19315</v>
      </c>
      <c r="H19" s="143">
        <f t="shared" si="8"/>
        <v>19215</v>
      </c>
      <c r="I19" s="143">
        <f t="shared" si="5"/>
        <v>19115</v>
      </c>
      <c r="J19" s="143">
        <f t="shared" si="5"/>
        <v>11015</v>
      </c>
      <c r="K19" s="143">
        <f t="shared" si="5"/>
        <v>11115</v>
      </c>
      <c r="L19" s="143">
        <f t="shared" si="5"/>
        <v>11215</v>
      </c>
      <c r="M19" s="143">
        <f t="shared" si="5"/>
        <v>11315</v>
      </c>
      <c r="N19" s="143">
        <f t="shared" si="5"/>
        <v>11415</v>
      </c>
      <c r="O19" s="143">
        <f t="shared" si="5"/>
        <v>11515</v>
      </c>
      <c r="P19" s="143">
        <f t="shared" si="9"/>
        <v>11615</v>
      </c>
      <c r="Q19" s="143">
        <f t="shared" si="10"/>
        <v>11715</v>
      </c>
      <c r="R19" s="143">
        <f t="shared" si="10"/>
        <v>11815</v>
      </c>
      <c r="S19" s="143">
        <f t="shared" si="10"/>
        <v>11915</v>
      </c>
      <c r="T19" s="13"/>
      <c r="V19" s="116"/>
      <c r="W19" s="122">
        <f t="shared" si="6"/>
        <v>1</v>
      </c>
      <c r="X19" s="123">
        <v>1</v>
      </c>
      <c r="Y19" s="61">
        <v>5</v>
      </c>
      <c r="Z19" s="61" t="str">
        <f t="shared" si="11"/>
        <v>11501</v>
      </c>
      <c r="AA19" s="124">
        <f t="shared" si="4"/>
        <v>11599</v>
      </c>
    </row>
    <row r="20" spans="1:27" ht="15.75" x14ac:dyDescent="0.25">
      <c r="A20" s="143">
        <f t="shared" si="7"/>
        <v>19916</v>
      </c>
      <c r="B20" s="143">
        <f t="shared" si="7"/>
        <v>19816</v>
      </c>
      <c r="C20" s="143">
        <f t="shared" si="7"/>
        <v>19716</v>
      </c>
      <c r="D20" s="143">
        <f t="shared" si="7"/>
        <v>19616</v>
      </c>
      <c r="E20" s="143">
        <f t="shared" si="8"/>
        <v>19516</v>
      </c>
      <c r="F20" s="143">
        <f t="shared" si="8"/>
        <v>19416</v>
      </c>
      <c r="G20" s="143">
        <f t="shared" si="8"/>
        <v>19316</v>
      </c>
      <c r="H20" s="143">
        <f t="shared" si="8"/>
        <v>19216</v>
      </c>
      <c r="I20" s="143">
        <f t="shared" si="5"/>
        <v>19116</v>
      </c>
      <c r="J20" s="143">
        <f t="shared" si="5"/>
        <v>11016</v>
      </c>
      <c r="K20" s="143">
        <f t="shared" si="5"/>
        <v>11116</v>
      </c>
      <c r="L20" s="143">
        <f t="shared" si="5"/>
        <v>11216</v>
      </c>
      <c r="M20" s="143">
        <f t="shared" si="5"/>
        <v>11316</v>
      </c>
      <c r="N20" s="143">
        <f t="shared" si="5"/>
        <v>11416</v>
      </c>
      <c r="O20" s="143">
        <f t="shared" si="5"/>
        <v>11516</v>
      </c>
      <c r="P20" s="143">
        <f t="shared" si="9"/>
        <v>11616</v>
      </c>
      <c r="Q20" s="143">
        <f t="shared" si="10"/>
        <v>11716</v>
      </c>
      <c r="R20" s="143">
        <f t="shared" si="10"/>
        <v>11816</v>
      </c>
      <c r="S20" s="143">
        <f t="shared" si="10"/>
        <v>11916</v>
      </c>
      <c r="T20" s="13"/>
      <c r="V20" s="116"/>
      <c r="W20" s="122">
        <f t="shared" si="6"/>
        <v>1</v>
      </c>
      <c r="X20" s="123">
        <v>1</v>
      </c>
      <c r="Y20" s="61">
        <v>6</v>
      </c>
      <c r="Z20" s="61" t="str">
        <f t="shared" si="11"/>
        <v>11601</v>
      </c>
      <c r="AA20" s="124">
        <f t="shared" si="4"/>
        <v>11699</v>
      </c>
    </row>
    <row r="21" spans="1:27" ht="15.75" x14ac:dyDescent="0.25">
      <c r="A21" s="143">
        <f t="shared" si="7"/>
        <v>19917</v>
      </c>
      <c r="B21" s="143">
        <f t="shared" si="7"/>
        <v>19817</v>
      </c>
      <c r="C21" s="143">
        <f t="shared" si="7"/>
        <v>19717</v>
      </c>
      <c r="D21" s="143">
        <f t="shared" si="7"/>
        <v>19617</v>
      </c>
      <c r="E21" s="143">
        <f t="shared" si="8"/>
        <v>19517</v>
      </c>
      <c r="F21" s="143">
        <f t="shared" si="8"/>
        <v>19417</v>
      </c>
      <c r="G21" s="143">
        <f t="shared" si="8"/>
        <v>19317</v>
      </c>
      <c r="H21" s="143">
        <f t="shared" si="8"/>
        <v>19217</v>
      </c>
      <c r="I21" s="143">
        <f t="shared" si="5"/>
        <v>19117</v>
      </c>
      <c r="J21" s="143">
        <f t="shared" si="5"/>
        <v>11017</v>
      </c>
      <c r="K21" s="143">
        <f t="shared" si="5"/>
        <v>11117</v>
      </c>
      <c r="L21" s="143">
        <f t="shared" si="5"/>
        <v>11217</v>
      </c>
      <c r="M21" s="143">
        <f t="shared" si="5"/>
        <v>11317</v>
      </c>
      <c r="N21" s="143">
        <f t="shared" si="5"/>
        <v>11417</v>
      </c>
      <c r="O21" s="143">
        <f t="shared" si="5"/>
        <v>11517</v>
      </c>
      <c r="P21" s="143">
        <f t="shared" si="9"/>
        <v>11617</v>
      </c>
      <c r="Q21" s="143">
        <f t="shared" si="10"/>
        <v>11717</v>
      </c>
      <c r="R21" s="143">
        <f t="shared" si="10"/>
        <v>11817</v>
      </c>
      <c r="S21" s="143">
        <f t="shared" si="10"/>
        <v>11917</v>
      </c>
      <c r="T21" s="13"/>
      <c r="V21" s="116"/>
      <c r="W21" s="122">
        <f t="shared" si="6"/>
        <v>1</v>
      </c>
      <c r="X21" s="123">
        <v>1</v>
      </c>
      <c r="Y21" s="61">
        <v>7</v>
      </c>
      <c r="Z21" s="61" t="str">
        <f t="shared" ref="Z21:Z23" si="12">W21&amp;X21&amp;Y21&amp;"01"</f>
        <v>11701</v>
      </c>
      <c r="AA21" s="124">
        <f t="shared" si="4"/>
        <v>11799</v>
      </c>
    </row>
    <row r="22" spans="1:27" ht="15.75" x14ac:dyDescent="0.25">
      <c r="A22" s="143">
        <f t="shared" si="7"/>
        <v>19918</v>
      </c>
      <c r="B22" s="143">
        <f t="shared" si="7"/>
        <v>19818</v>
      </c>
      <c r="C22" s="143">
        <f t="shared" si="7"/>
        <v>19718</v>
      </c>
      <c r="D22" s="143">
        <f t="shared" si="7"/>
        <v>19618</v>
      </c>
      <c r="E22" s="143">
        <f t="shared" si="8"/>
        <v>19518</v>
      </c>
      <c r="F22" s="143">
        <f t="shared" si="8"/>
        <v>19418</v>
      </c>
      <c r="G22" s="143">
        <f t="shared" si="8"/>
        <v>19318</v>
      </c>
      <c r="H22" s="143">
        <f t="shared" si="8"/>
        <v>19218</v>
      </c>
      <c r="I22" s="143">
        <f t="shared" ref="I22:O31" si="13">I21+1</f>
        <v>19118</v>
      </c>
      <c r="J22" s="143">
        <f t="shared" si="13"/>
        <v>11018</v>
      </c>
      <c r="K22" s="143">
        <f t="shared" si="13"/>
        <v>11118</v>
      </c>
      <c r="L22" s="143">
        <f t="shared" si="13"/>
        <v>11218</v>
      </c>
      <c r="M22" s="143">
        <f t="shared" si="13"/>
        <v>11318</v>
      </c>
      <c r="N22" s="143">
        <f t="shared" si="13"/>
        <v>11418</v>
      </c>
      <c r="O22" s="143">
        <f t="shared" si="13"/>
        <v>11518</v>
      </c>
      <c r="P22" s="143">
        <f t="shared" si="9"/>
        <v>11618</v>
      </c>
      <c r="Q22" s="143">
        <f t="shared" si="10"/>
        <v>11718</v>
      </c>
      <c r="R22" s="143">
        <f t="shared" si="10"/>
        <v>11818</v>
      </c>
      <c r="S22" s="143">
        <f t="shared" si="10"/>
        <v>11918</v>
      </c>
      <c r="T22" s="13"/>
      <c r="V22" s="116"/>
      <c r="W22" s="122">
        <f t="shared" si="6"/>
        <v>1</v>
      </c>
      <c r="X22" s="123">
        <v>1</v>
      </c>
      <c r="Y22" s="61">
        <v>8</v>
      </c>
      <c r="Z22" s="61" t="str">
        <f t="shared" si="12"/>
        <v>11801</v>
      </c>
      <c r="AA22" s="124">
        <f t="shared" si="4"/>
        <v>11899</v>
      </c>
    </row>
    <row r="23" spans="1:27" ht="16.5" thickBot="1" x14ac:dyDescent="0.3">
      <c r="A23" s="143">
        <f t="shared" si="7"/>
        <v>19919</v>
      </c>
      <c r="B23" s="143">
        <f t="shared" si="7"/>
        <v>19819</v>
      </c>
      <c r="C23" s="143">
        <f t="shared" si="7"/>
        <v>19719</v>
      </c>
      <c r="D23" s="143">
        <f t="shared" si="7"/>
        <v>19619</v>
      </c>
      <c r="E23" s="143">
        <f t="shared" si="8"/>
        <v>19519</v>
      </c>
      <c r="F23" s="143">
        <f t="shared" si="8"/>
        <v>19419</v>
      </c>
      <c r="G23" s="143">
        <f t="shared" si="8"/>
        <v>19319</v>
      </c>
      <c r="H23" s="143">
        <f t="shared" si="8"/>
        <v>19219</v>
      </c>
      <c r="I23" s="143">
        <f t="shared" si="13"/>
        <v>19119</v>
      </c>
      <c r="J23" s="143">
        <f t="shared" si="13"/>
        <v>11019</v>
      </c>
      <c r="K23" s="143">
        <f t="shared" si="13"/>
        <v>11119</v>
      </c>
      <c r="L23" s="143">
        <f t="shared" si="13"/>
        <v>11219</v>
      </c>
      <c r="M23" s="143">
        <f t="shared" si="13"/>
        <v>11319</v>
      </c>
      <c r="N23" s="143">
        <f t="shared" si="13"/>
        <v>11419</v>
      </c>
      <c r="O23" s="143">
        <f t="shared" si="13"/>
        <v>11519</v>
      </c>
      <c r="P23" s="143">
        <f t="shared" si="9"/>
        <v>11619</v>
      </c>
      <c r="Q23" s="143">
        <f t="shared" si="10"/>
        <v>11719</v>
      </c>
      <c r="R23" s="143">
        <f t="shared" si="10"/>
        <v>11819</v>
      </c>
      <c r="S23" s="143">
        <f t="shared" si="10"/>
        <v>11919</v>
      </c>
      <c r="T23" s="13"/>
      <c r="V23" s="116"/>
      <c r="W23" s="125">
        <f t="shared" si="6"/>
        <v>1</v>
      </c>
      <c r="X23" s="126">
        <v>1</v>
      </c>
      <c r="Y23" s="127">
        <v>9</v>
      </c>
      <c r="Z23" s="127" t="str">
        <f t="shared" si="12"/>
        <v>11901</v>
      </c>
      <c r="AA23" s="128">
        <f t="shared" si="4"/>
        <v>11999</v>
      </c>
    </row>
    <row r="24" spans="1:27" ht="15.75" x14ac:dyDescent="0.25">
      <c r="A24" s="143">
        <f t="shared" si="7"/>
        <v>19920</v>
      </c>
      <c r="B24" s="143">
        <f t="shared" si="7"/>
        <v>19820</v>
      </c>
      <c r="C24" s="143">
        <f t="shared" si="7"/>
        <v>19720</v>
      </c>
      <c r="D24" s="143">
        <f t="shared" si="7"/>
        <v>19620</v>
      </c>
      <c r="E24" s="143">
        <f t="shared" si="8"/>
        <v>19520</v>
      </c>
      <c r="F24" s="143">
        <f t="shared" si="8"/>
        <v>19420</v>
      </c>
      <c r="G24" s="143">
        <f t="shared" si="8"/>
        <v>19320</v>
      </c>
      <c r="H24" s="143">
        <f t="shared" si="8"/>
        <v>19220</v>
      </c>
      <c r="I24" s="143">
        <f t="shared" si="13"/>
        <v>19120</v>
      </c>
      <c r="J24" s="143">
        <f t="shared" si="13"/>
        <v>11020</v>
      </c>
      <c r="K24" s="143">
        <f t="shared" si="13"/>
        <v>11120</v>
      </c>
      <c r="L24" s="143">
        <f t="shared" si="13"/>
        <v>11220</v>
      </c>
      <c r="M24" s="143">
        <f t="shared" si="13"/>
        <v>11320</v>
      </c>
      <c r="N24" s="143">
        <f t="shared" si="13"/>
        <v>11420</v>
      </c>
      <c r="O24" s="143">
        <f t="shared" si="13"/>
        <v>11520</v>
      </c>
      <c r="P24" s="143">
        <f t="shared" si="9"/>
        <v>11620</v>
      </c>
      <c r="Q24" s="143">
        <f t="shared" si="10"/>
        <v>11720</v>
      </c>
      <c r="R24" s="143">
        <f t="shared" si="10"/>
        <v>11820</v>
      </c>
      <c r="S24" s="143">
        <f t="shared" si="10"/>
        <v>11920</v>
      </c>
      <c r="T24" s="13"/>
      <c r="V24" s="116"/>
    </row>
    <row r="25" spans="1:27" ht="16.5" thickBot="1" x14ac:dyDescent="0.3">
      <c r="A25" s="143">
        <f t="shared" si="7"/>
        <v>19921</v>
      </c>
      <c r="B25" s="143">
        <f t="shared" si="7"/>
        <v>19821</v>
      </c>
      <c r="C25" s="143">
        <f t="shared" si="7"/>
        <v>19721</v>
      </c>
      <c r="D25" s="143">
        <f t="shared" si="7"/>
        <v>19621</v>
      </c>
      <c r="E25" s="143">
        <f t="shared" si="8"/>
        <v>19521</v>
      </c>
      <c r="F25" s="143">
        <f t="shared" si="8"/>
        <v>19421</v>
      </c>
      <c r="G25" s="143">
        <f t="shared" si="8"/>
        <v>19321</v>
      </c>
      <c r="H25" s="143">
        <f t="shared" si="8"/>
        <v>19221</v>
      </c>
      <c r="I25" s="143">
        <f t="shared" si="13"/>
        <v>19121</v>
      </c>
      <c r="J25" s="143">
        <f t="shared" si="13"/>
        <v>11021</v>
      </c>
      <c r="K25" s="143">
        <f t="shared" si="13"/>
        <v>11121</v>
      </c>
      <c r="L25" s="143">
        <f t="shared" si="13"/>
        <v>11221</v>
      </c>
      <c r="M25" s="143">
        <f t="shared" si="13"/>
        <v>11321</v>
      </c>
      <c r="N25" s="143">
        <f t="shared" si="13"/>
        <v>11421</v>
      </c>
      <c r="O25" s="143">
        <f t="shared" si="13"/>
        <v>11521</v>
      </c>
      <c r="P25" s="143">
        <f t="shared" si="9"/>
        <v>11621</v>
      </c>
      <c r="Q25" s="143">
        <f t="shared" si="10"/>
        <v>11721</v>
      </c>
      <c r="R25" s="143">
        <f t="shared" si="10"/>
        <v>11821</v>
      </c>
      <c r="S25" s="143">
        <f t="shared" si="10"/>
        <v>11921</v>
      </c>
      <c r="T25" s="13"/>
      <c r="V25" s="116"/>
      <c r="W25" s="84" t="s">
        <v>163</v>
      </c>
      <c r="X25" s="129"/>
      <c r="Y25" s="16"/>
      <c r="Z25" s="12" t="s">
        <v>164</v>
      </c>
      <c r="AA25" s="16"/>
    </row>
    <row r="26" spans="1:27" ht="15.75" x14ac:dyDescent="0.25">
      <c r="A26" s="143">
        <f t="shared" si="7"/>
        <v>19922</v>
      </c>
      <c r="B26" s="143">
        <f t="shared" si="7"/>
        <v>19822</v>
      </c>
      <c r="C26" s="143">
        <f t="shared" si="7"/>
        <v>19722</v>
      </c>
      <c r="D26" s="143">
        <f t="shared" si="7"/>
        <v>19622</v>
      </c>
      <c r="E26" s="143">
        <f t="shared" si="8"/>
        <v>19522</v>
      </c>
      <c r="F26" s="143">
        <f t="shared" si="8"/>
        <v>19422</v>
      </c>
      <c r="G26" s="143">
        <f t="shared" si="8"/>
        <v>19322</v>
      </c>
      <c r="H26" s="143">
        <f t="shared" si="8"/>
        <v>19222</v>
      </c>
      <c r="I26" s="143">
        <f t="shared" si="13"/>
        <v>19122</v>
      </c>
      <c r="J26" s="143">
        <f t="shared" si="13"/>
        <v>11022</v>
      </c>
      <c r="K26" s="143">
        <f t="shared" si="13"/>
        <v>11122</v>
      </c>
      <c r="L26" s="143">
        <f t="shared" si="13"/>
        <v>11222</v>
      </c>
      <c r="M26" s="143">
        <f t="shared" si="13"/>
        <v>11322</v>
      </c>
      <c r="N26" s="143">
        <f t="shared" si="13"/>
        <v>11422</v>
      </c>
      <c r="O26" s="143">
        <f t="shared" si="13"/>
        <v>11522</v>
      </c>
      <c r="P26" s="143">
        <f t="shared" si="9"/>
        <v>11622</v>
      </c>
      <c r="Q26" s="143">
        <f t="shared" si="10"/>
        <v>11722</v>
      </c>
      <c r="R26" s="143">
        <f t="shared" si="10"/>
        <v>11822</v>
      </c>
      <c r="S26" s="143">
        <f t="shared" si="10"/>
        <v>11922</v>
      </c>
      <c r="T26" s="13"/>
      <c r="V26" s="116"/>
      <c r="W26" s="131"/>
      <c r="X26" s="132">
        <v>5</v>
      </c>
      <c r="Y26" s="132">
        <v>0</v>
      </c>
      <c r="Z26" s="184" t="s">
        <v>161</v>
      </c>
      <c r="AA26" s="185"/>
    </row>
    <row r="27" spans="1:27" ht="16.5" thickBot="1" x14ac:dyDescent="0.3">
      <c r="A27" s="143">
        <f t="shared" si="7"/>
        <v>19923</v>
      </c>
      <c r="B27" s="143">
        <f t="shared" si="7"/>
        <v>19823</v>
      </c>
      <c r="C27" s="143">
        <f t="shared" si="7"/>
        <v>19723</v>
      </c>
      <c r="D27" s="143">
        <f t="shared" si="7"/>
        <v>19623</v>
      </c>
      <c r="E27" s="143">
        <f t="shared" si="8"/>
        <v>19523</v>
      </c>
      <c r="F27" s="143">
        <f t="shared" si="8"/>
        <v>19423</v>
      </c>
      <c r="G27" s="143">
        <f t="shared" si="8"/>
        <v>19323</v>
      </c>
      <c r="H27" s="143">
        <f t="shared" si="8"/>
        <v>19223</v>
      </c>
      <c r="I27" s="143">
        <f t="shared" si="13"/>
        <v>19123</v>
      </c>
      <c r="J27" s="143">
        <f t="shared" si="13"/>
        <v>11023</v>
      </c>
      <c r="K27" s="143">
        <f t="shared" si="13"/>
        <v>11123</v>
      </c>
      <c r="L27" s="143">
        <f t="shared" si="13"/>
        <v>11223</v>
      </c>
      <c r="M27" s="143">
        <f t="shared" si="13"/>
        <v>11323</v>
      </c>
      <c r="N27" s="143">
        <f t="shared" si="13"/>
        <v>11423</v>
      </c>
      <c r="O27" s="143">
        <f t="shared" si="13"/>
        <v>11523</v>
      </c>
      <c r="P27" s="143">
        <f t="shared" si="9"/>
        <v>11623</v>
      </c>
      <c r="Q27" s="143">
        <f t="shared" si="10"/>
        <v>11723</v>
      </c>
      <c r="R27" s="143">
        <f t="shared" si="10"/>
        <v>11823</v>
      </c>
      <c r="S27" s="143">
        <f t="shared" si="10"/>
        <v>11923</v>
      </c>
      <c r="T27" s="13"/>
      <c r="V27" s="116"/>
      <c r="W27" s="125"/>
      <c r="X27" s="126">
        <v>6</v>
      </c>
      <c r="Y27" s="126">
        <v>0</v>
      </c>
      <c r="Z27" s="186" t="s">
        <v>162</v>
      </c>
      <c r="AA27" s="187"/>
    </row>
    <row r="28" spans="1:27" ht="15.75" x14ac:dyDescent="0.25">
      <c r="A28" s="143">
        <f t="shared" si="7"/>
        <v>19924</v>
      </c>
      <c r="B28" s="143">
        <f t="shared" si="7"/>
        <v>19824</v>
      </c>
      <c r="C28" s="143">
        <f t="shared" si="7"/>
        <v>19724</v>
      </c>
      <c r="D28" s="143">
        <f t="shared" si="7"/>
        <v>19624</v>
      </c>
      <c r="E28" s="143">
        <f t="shared" si="8"/>
        <v>19524</v>
      </c>
      <c r="F28" s="143">
        <f t="shared" si="8"/>
        <v>19424</v>
      </c>
      <c r="G28" s="143">
        <f t="shared" si="8"/>
        <v>19324</v>
      </c>
      <c r="H28" s="143">
        <f t="shared" si="8"/>
        <v>19224</v>
      </c>
      <c r="I28" s="143">
        <f t="shared" si="13"/>
        <v>19124</v>
      </c>
      <c r="J28" s="143">
        <f t="shared" si="13"/>
        <v>11024</v>
      </c>
      <c r="K28" s="143">
        <f t="shared" si="13"/>
        <v>11124</v>
      </c>
      <c r="L28" s="143">
        <f t="shared" si="13"/>
        <v>11224</v>
      </c>
      <c r="M28" s="143">
        <f t="shared" si="13"/>
        <v>11324</v>
      </c>
      <c r="N28" s="143">
        <f t="shared" si="13"/>
        <v>11424</v>
      </c>
      <c r="O28" s="143">
        <f t="shared" si="13"/>
        <v>11524</v>
      </c>
      <c r="P28" s="143">
        <f t="shared" si="9"/>
        <v>11624</v>
      </c>
      <c r="Q28" s="143">
        <f t="shared" si="10"/>
        <v>11724</v>
      </c>
      <c r="R28" s="143">
        <f t="shared" si="10"/>
        <v>11824</v>
      </c>
      <c r="S28" s="143">
        <f t="shared" si="10"/>
        <v>11924</v>
      </c>
      <c r="T28" s="13"/>
      <c r="V28" s="116"/>
    </row>
    <row r="29" spans="1:27" ht="16.5" thickBot="1" x14ac:dyDescent="0.3">
      <c r="A29" s="143">
        <f t="shared" si="7"/>
        <v>19925</v>
      </c>
      <c r="B29" s="143">
        <f t="shared" si="7"/>
        <v>19825</v>
      </c>
      <c r="C29" s="143">
        <f t="shared" si="7"/>
        <v>19725</v>
      </c>
      <c r="D29" s="143">
        <f t="shared" si="7"/>
        <v>19625</v>
      </c>
      <c r="E29" s="143">
        <f t="shared" si="8"/>
        <v>19525</v>
      </c>
      <c r="F29" s="143">
        <f t="shared" si="8"/>
        <v>19425</v>
      </c>
      <c r="G29" s="143">
        <f t="shared" si="8"/>
        <v>19325</v>
      </c>
      <c r="H29" s="143">
        <f t="shared" si="8"/>
        <v>19225</v>
      </c>
      <c r="I29" s="143">
        <f t="shared" si="13"/>
        <v>19125</v>
      </c>
      <c r="J29" s="143">
        <f t="shared" si="13"/>
        <v>11025</v>
      </c>
      <c r="K29" s="143">
        <f t="shared" si="13"/>
        <v>11125</v>
      </c>
      <c r="L29" s="143">
        <f t="shared" si="13"/>
        <v>11225</v>
      </c>
      <c r="M29" s="143">
        <f t="shared" si="13"/>
        <v>11325</v>
      </c>
      <c r="N29" s="143">
        <f t="shared" si="13"/>
        <v>11425</v>
      </c>
      <c r="O29" s="143">
        <f t="shared" si="13"/>
        <v>11525</v>
      </c>
      <c r="P29" s="143">
        <f t="shared" si="9"/>
        <v>11625</v>
      </c>
      <c r="Q29" s="143">
        <f t="shared" si="10"/>
        <v>11725</v>
      </c>
      <c r="R29" s="143">
        <f t="shared" si="10"/>
        <v>11825</v>
      </c>
      <c r="S29" s="143">
        <f t="shared" si="10"/>
        <v>11925</v>
      </c>
      <c r="T29" s="13"/>
      <c r="V29" s="116"/>
      <c r="W29" s="84" t="s">
        <v>166</v>
      </c>
      <c r="X29" s="129"/>
      <c r="Y29" s="16"/>
      <c r="Z29" s="12" t="s">
        <v>164</v>
      </c>
      <c r="AA29" s="16"/>
    </row>
    <row r="30" spans="1:27" ht="15.75" x14ac:dyDescent="0.25">
      <c r="A30" s="143">
        <f t="shared" si="7"/>
        <v>19926</v>
      </c>
      <c r="B30" s="143">
        <f t="shared" si="7"/>
        <v>19826</v>
      </c>
      <c r="C30" s="143">
        <f t="shared" si="7"/>
        <v>19726</v>
      </c>
      <c r="D30" s="143">
        <f t="shared" si="7"/>
        <v>19626</v>
      </c>
      <c r="E30" s="143">
        <f t="shared" si="8"/>
        <v>19526</v>
      </c>
      <c r="F30" s="143">
        <f t="shared" si="8"/>
        <v>19426</v>
      </c>
      <c r="G30" s="143">
        <f t="shared" si="8"/>
        <v>19326</v>
      </c>
      <c r="H30" s="143">
        <f t="shared" si="8"/>
        <v>19226</v>
      </c>
      <c r="I30" s="143">
        <f t="shared" si="13"/>
        <v>19126</v>
      </c>
      <c r="J30" s="143">
        <f t="shared" si="13"/>
        <v>11026</v>
      </c>
      <c r="K30" s="143">
        <f t="shared" si="13"/>
        <v>11126</v>
      </c>
      <c r="L30" s="143">
        <f t="shared" si="13"/>
        <v>11226</v>
      </c>
      <c r="M30" s="143">
        <f t="shared" si="13"/>
        <v>11326</v>
      </c>
      <c r="N30" s="143">
        <f t="shared" si="13"/>
        <v>11426</v>
      </c>
      <c r="O30" s="143">
        <f t="shared" si="13"/>
        <v>11526</v>
      </c>
      <c r="P30" s="143">
        <f t="shared" si="9"/>
        <v>11626</v>
      </c>
      <c r="Q30" s="143">
        <f t="shared" si="10"/>
        <v>11726</v>
      </c>
      <c r="R30" s="143">
        <f t="shared" si="10"/>
        <v>11826</v>
      </c>
      <c r="S30" s="143">
        <f t="shared" si="10"/>
        <v>11926</v>
      </c>
      <c r="T30" s="13"/>
      <c r="V30" s="116"/>
      <c r="W30" s="131"/>
      <c r="X30" s="132">
        <v>7</v>
      </c>
      <c r="Y30" s="132" t="s">
        <v>167</v>
      </c>
      <c r="Z30" s="184" t="s">
        <v>161</v>
      </c>
      <c r="AA30" s="185"/>
    </row>
    <row r="31" spans="1:27" ht="16.5" thickBot="1" x14ac:dyDescent="0.3">
      <c r="A31" s="143">
        <f t="shared" si="7"/>
        <v>19927</v>
      </c>
      <c r="B31" s="143">
        <f t="shared" si="7"/>
        <v>19827</v>
      </c>
      <c r="C31" s="143">
        <f t="shared" si="7"/>
        <v>19727</v>
      </c>
      <c r="D31" s="143">
        <f t="shared" si="7"/>
        <v>19627</v>
      </c>
      <c r="E31" s="143">
        <f t="shared" si="8"/>
        <v>19527</v>
      </c>
      <c r="F31" s="143">
        <f t="shared" si="8"/>
        <v>19427</v>
      </c>
      <c r="G31" s="143">
        <f t="shared" si="8"/>
        <v>19327</v>
      </c>
      <c r="H31" s="143">
        <f t="shared" si="8"/>
        <v>19227</v>
      </c>
      <c r="I31" s="143">
        <f t="shared" si="13"/>
        <v>19127</v>
      </c>
      <c r="J31" s="143">
        <f t="shared" si="13"/>
        <v>11027</v>
      </c>
      <c r="K31" s="143">
        <f t="shared" si="13"/>
        <v>11127</v>
      </c>
      <c r="L31" s="143">
        <f t="shared" si="13"/>
        <v>11227</v>
      </c>
      <c r="M31" s="143">
        <f t="shared" si="13"/>
        <v>11327</v>
      </c>
      <c r="N31" s="143">
        <f t="shared" si="13"/>
        <v>11427</v>
      </c>
      <c r="O31" s="143">
        <f t="shared" si="13"/>
        <v>11527</v>
      </c>
      <c r="P31" s="143">
        <f t="shared" si="9"/>
        <v>11627</v>
      </c>
      <c r="Q31" s="143">
        <f t="shared" si="10"/>
        <v>11727</v>
      </c>
      <c r="R31" s="143">
        <f t="shared" si="10"/>
        <v>11827</v>
      </c>
      <c r="S31" s="143">
        <f t="shared" si="10"/>
        <v>11927</v>
      </c>
      <c r="T31" s="13"/>
      <c r="V31" s="116"/>
      <c r="W31" s="125"/>
      <c r="X31" s="126">
        <v>8</v>
      </c>
      <c r="Y31" s="126" t="s">
        <v>167</v>
      </c>
      <c r="Z31" s="186" t="s">
        <v>162</v>
      </c>
      <c r="AA31" s="187"/>
    </row>
    <row r="32" spans="1:27" ht="15.75" x14ac:dyDescent="0.25">
      <c r="A32" s="143">
        <f t="shared" si="7"/>
        <v>19928</v>
      </c>
      <c r="B32" s="143">
        <f t="shared" si="7"/>
        <v>19828</v>
      </c>
      <c r="C32" s="143">
        <f t="shared" si="7"/>
        <v>19728</v>
      </c>
      <c r="D32" s="143">
        <f t="shared" si="7"/>
        <v>19628</v>
      </c>
      <c r="E32" s="143">
        <f t="shared" si="8"/>
        <v>19528</v>
      </c>
      <c r="F32" s="143">
        <f t="shared" si="8"/>
        <v>19428</v>
      </c>
      <c r="G32" s="143">
        <f t="shared" si="8"/>
        <v>19328</v>
      </c>
      <c r="H32" s="143">
        <f t="shared" si="8"/>
        <v>19228</v>
      </c>
      <c r="I32" s="143">
        <f t="shared" ref="I32:L70" si="14">I31+1</f>
        <v>19128</v>
      </c>
      <c r="J32" s="143">
        <f t="shared" si="14"/>
        <v>11028</v>
      </c>
      <c r="K32" s="143">
        <f t="shared" si="14"/>
        <v>11128</v>
      </c>
      <c r="L32" s="143">
        <f t="shared" si="14"/>
        <v>11228</v>
      </c>
      <c r="M32" s="143">
        <f t="shared" si="9"/>
        <v>11328</v>
      </c>
      <c r="N32" s="143">
        <f t="shared" si="9"/>
        <v>11428</v>
      </c>
      <c r="O32" s="143">
        <f t="shared" si="9"/>
        <v>11528</v>
      </c>
      <c r="P32" s="143">
        <f t="shared" si="9"/>
        <v>11628</v>
      </c>
      <c r="Q32" s="143">
        <f t="shared" si="10"/>
        <v>11728</v>
      </c>
      <c r="R32" s="143">
        <f t="shared" si="10"/>
        <v>11828</v>
      </c>
      <c r="S32" s="143">
        <f t="shared" si="10"/>
        <v>11928</v>
      </c>
      <c r="T32" s="13"/>
      <c r="V32" s="116"/>
    </row>
    <row r="33" spans="1:19" x14ac:dyDescent="0.25">
      <c r="A33" s="143">
        <f t="shared" si="7"/>
        <v>19929</v>
      </c>
      <c r="B33" s="143">
        <f t="shared" si="7"/>
        <v>19829</v>
      </c>
      <c r="C33" s="143">
        <f t="shared" si="7"/>
        <v>19729</v>
      </c>
      <c r="D33" s="143">
        <f t="shared" si="7"/>
        <v>19629</v>
      </c>
      <c r="E33" s="143">
        <f t="shared" si="8"/>
        <v>19529</v>
      </c>
      <c r="F33" s="143">
        <f t="shared" si="8"/>
        <v>19429</v>
      </c>
      <c r="G33" s="143">
        <f t="shared" si="8"/>
        <v>19329</v>
      </c>
      <c r="H33" s="143">
        <f t="shared" si="8"/>
        <v>19229</v>
      </c>
      <c r="I33" s="143">
        <f t="shared" si="14"/>
        <v>19129</v>
      </c>
      <c r="J33" s="143">
        <f t="shared" si="14"/>
        <v>11029</v>
      </c>
      <c r="K33" s="143">
        <f t="shared" si="14"/>
        <v>11129</v>
      </c>
      <c r="L33" s="143">
        <f t="shared" si="14"/>
        <v>11229</v>
      </c>
      <c r="M33" s="143">
        <f t="shared" si="9"/>
        <v>11329</v>
      </c>
      <c r="N33" s="143">
        <f t="shared" si="9"/>
        <v>11429</v>
      </c>
      <c r="O33" s="143">
        <f t="shared" si="9"/>
        <v>11529</v>
      </c>
      <c r="P33" s="143">
        <f t="shared" si="9"/>
        <v>11629</v>
      </c>
      <c r="Q33" s="143">
        <f t="shared" si="10"/>
        <v>11729</v>
      </c>
      <c r="R33" s="143">
        <f t="shared" si="10"/>
        <v>11829</v>
      </c>
      <c r="S33" s="143">
        <f t="shared" si="10"/>
        <v>11929</v>
      </c>
    </row>
    <row r="34" spans="1:19" x14ac:dyDescent="0.25">
      <c r="A34" s="143">
        <f t="shared" si="7"/>
        <v>19930</v>
      </c>
      <c r="B34" s="143">
        <f t="shared" si="7"/>
        <v>19830</v>
      </c>
      <c r="C34" s="143">
        <f t="shared" si="7"/>
        <v>19730</v>
      </c>
      <c r="D34" s="143">
        <f t="shared" si="7"/>
        <v>19630</v>
      </c>
      <c r="E34" s="143">
        <f t="shared" si="8"/>
        <v>19530</v>
      </c>
      <c r="F34" s="143">
        <f t="shared" si="8"/>
        <v>19430</v>
      </c>
      <c r="G34" s="143">
        <f t="shared" si="8"/>
        <v>19330</v>
      </c>
      <c r="H34" s="143">
        <f t="shared" si="8"/>
        <v>19230</v>
      </c>
      <c r="I34" s="143">
        <f t="shared" si="14"/>
        <v>19130</v>
      </c>
      <c r="J34" s="143">
        <f t="shared" si="14"/>
        <v>11030</v>
      </c>
      <c r="K34" s="143">
        <f t="shared" si="14"/>
        <v>11130</v>
      </c>
      <c r="L34" s="143">
        <f t="shared" si="14"/>
        <v>11230</v>
      </c>
      <c r="M34" s="143">
        <f t="shared" si="9"/>
        <v>11330</v>
      </c>
      <c r="N34" s="143">
        <f t="shared" si="9"/>
        <v>11430</v>
      </c>
      <c r="O34" s="143">
        <f t="shared" si="9"/>
        <v>11530</v>
      </c>
      <c r="P34" s="143">
        <f t="shared" si="9"/>
        <v>11630</v>
      </c>
      <c r="Q34" s="143">
        <f t="shared" si="10"/>
        <v>11730</v>
      </c>
      <c r="R34" s="143">
        <f t="shared" si="10"/>
        <v>11830</v>
      </c>
      <c r="S34" s="143">
        <f t="shared" si="10"/>
        <v>11930</v>
      </c>
    </row>
    <row r="35" spans="1:19" x14ac:dyDescent="0.25">
      <c r="A35" s="143">
        <f t="shared" si="7"/>
        <v>19931</v>
      </c>
      <c r="B35" s="143">
        <f t="shared" si="7"/>
        <v>19831</v>
      </c>
      <c r="C35" s="143">
        <f t="shared" si="7"/>
        <v>19731</v>
      </c>
      <c r="D35" s="143">
        <f t="shared" si="7"/>
        <v>19631</v>
      </c>
      <c r="E35" s="143">
        <f t="shared" si="8"/>
        <v>19531</v>
      </c>
      <c r="F35" s="143">
        <f t="shared" si="8"/>
        <v>19431</v>
      </c>
      <c r="G35" s="143">
        <f t="shared" si="8"/>
        <v>19331</v>
      </c>
      <c r="H35" s="143">
        <f t="shared" si="8"/>
        <v>19231</v>
      </c>
      <c r="I35" s="143">
        <f t="shared" si="14"/>
        <v>19131</v>
      </c>
      <c r="J35" s="143">
        <f t="shared" si="14"/>
        <v>11031</v>
      </c>
      <c r="K35" s="143">
        <f t="shared" si="14"/>
        <v>11131</v>
      </c>
      <c r="L35" s="143">
        <f t="shared" si="14"/>
        <v>11231</v>
      </c>
      <c r="M35" s="143">
        <f t="shared" si="9"/>
        <v>11331</v>
      </c>
      <c r="N35" s="143">
        <f t="shared" si="9"/>
        <v>11431</v>
      </c>
      <c r="O35" s="143">
        <f t="shared" si="9"/>
        <v>11531</v>
      </c>
      <c r="P35" s="143">
        <f t="shared" si="9"/>
        <v>11631</v>
      </c>
      <c r="Q35" s="143">
        <f t="shared" si="10"/>
        <v>11731</v>
      </c>
      <c r="R35" s="143">
        <f t="shared" si="10"/>
        <v>11831</v>
      </c>
      <c r="S35" s="143">
        <f t="shared" si="10"/>
        <v>11931</v>
      </c>
    </row>
    <row r="36" spans="1:19" x14ac:dyDescent="0.25">
      <c r="A36" s="143">
        <f t="shared" si="7"/>
        <v>19932</v>
      </c>
      <c r="B36" s="143">
        <f t="shared" si="7"/>
        <v>19832</v>
      </c>
      <c r="C36" s="143">
        <f t="shared" si="7"/>
        <v>19732</v>
      </c>
      <c r="D36" s="143">
        <f t="shared" si="7"/>
        <v>19632</v>
      </c>
      <c r="E36" s="143">
        <f t="shared" si="8"/>
        <v>19532</v>
      </c>
      <c r="F36" s="143">
        <f t="shared" si="8"/>
        <v>19432</v>
      </c>
      <c r="G36" s="143">
        <f t="shared" si="8"/>
        <v>19332</v>
      </c>
      <c r="H36" s="143">
        <f t="shared" si="8"/>
        <v>19232</v>
      </c>
      <c r="I36" s="143">
        <f t="shared" si="14"/>
        <v>19132</v>
      </c>
      <c r="J36" s="143">
        <f t="shared" si="14"/>
        <v>11032</v>
      </c>
      <c r="K36" s="143">
        <f t="shared" si="14"/>
        <v>11132</v>
      </c>
      <c r="L36" s="143">
        <f t="shared" si="14"/>
        <v>11232</v>
      </c>
      <c r="M36" s="143">
        <f t="shared" si="9"/>
        <v>11332</v>
      </c>
      <c r="N36" s="143">
        <f t="shared" si="9"/>
        <v>11432</v>
      </c>
      <c r="O36" s="143">
        <f t="shared" si="9"/>
        <v>11532</v>
      </c>
      <c r="P36" s="143">
        <f t="shared" si="9"/>
        <v>11632</v>
      </c>
      <c r="Q36" s="143">
        <f t="shared" si="10"/>
        <v>11732</v>
      </c>
      <c r="R36" s="143">
        <f t="shared" si="10"/>
        <v>11832</v>
      </c>
      <c r="S36" s="143">
        <f t="shared" si="10"/>
        <v>11932</v>
      </c>
    </row>
    <row r="37" spans="1:19" x14ac:dyDescent="0.25">
      <c r="A37" s="143">
        <f t="shared" si="7"/>
        <v>19933</v>
      </c>
      <c r="B37" s="143">
        <f t="shared" si="7"/>
        <v>19833</v>
      </c>
      <c r="C37" s="143">
        <f t="shared" si="7"/>
        <v>19733</v>
      </c>
      <c r="D37" s="143">
        <f t="shared" si="7"/>
        <v>19633</v>
      </c>
      <c r="E37" s="143">
        <f t="shared" si="8"/>
        <v>19533</v>
      </c>
      <c r="F37" s="143">
        <f t="shared" si="8"/>
        <v>19433</v>
      </c>
      <c r="G37" s="143">
        <f t="shared" si="8"/>
        <v>19333</v>
      </c>
      <c r="H37" s="143">
        <f t="shared" si="8"/>
        <v>19233</v>
      </c>
      <c r="I37" s="143">
        <f t="shared" si="14"/>
        <v>19133</v>
      </c>
      <c r="J37" s="143">
        <f t="shared" si="14"/>
        <v>11033</v>
      </c>
      <c r="K37" s="143">
        <f t="shared" si="14"/>
        <v>11133</v>
      </c>
      <c r="L37" s="143">
        <f t="shared" si="14"/>
        <v>11233</v>
      </c>
      <c r="M37" s="143">
        <f t="shared" si="9"/>
        <v>11333</v>
      </c>
      <c r="N37" s="143">
        <f t="shared" si="9"/>
        <v>11433</v>
      </c>
      <c r="O37" s="143">
        <f t="shared" si="9"/>
        <v>11533</v>
      </c>
      <c r="P37" s="143">
        <f t="shared" si="9"/>
        <v>11633</v>
      </c>
      <c r="Q37" s="143">
        <f t="shared" si="10"/>
        <v>11733</v>
      </c>
      <c r="R37" s="143">
        <f t="shared" si="10"/>
        <v>11833</v>
      </c>
      <c r="S37" s="143">
        <f t="shared" si="10"/>
        <v>11933</v>
      </c>
    </row>
    <row r="38" spans="1:19" x14ac:dyDescent="0.25">
      <c r="A38" s="143">
        <f t="shared" si="7"/>
        <v>19934</v>
      </c>
      <c r="B38" s="143">
        <f t="shared" si="7"/>
        <v>19834</v>
      </c>
      <c r="C38" s="143">
        <f t="shared" si="7"/>
        <v>19734</v>
      </c>
      <c r="D38" s="143">
        <f t="shared" si="7"/>
        <v>19634</v>
      </c>
      <c r="E38" s="143">
        <f t="shared" si="8"/>
        <v>19534</v>
      </c>
      <c r="F38" s="143">
        <f t="shared" si="8"/>
        <v>19434</v>
      </c>
      <c r="G38" s="143">
        <f t="shared" si="8"/>
        <v>19334</v>
      </c>
      <c r="H38" s="143">
        <f t="shared" si="8"/>
        <v>19234</v>
      </c>
      <c r="I38" s="143">
        <f t="shared" si="14"/>
        <v>19134</v>
      </c>
      <c r="J38" s="143">
        <f t="shared" si="14"/>
        <v>11034</v>
      </c>
      <c r="K38" s="143">
        <f t="shared" si="14"/>
        <v>11134</v>
      </c>
      <c r="L38" s="143">
        <f t="shared" si="14"/>
        <v>11234</v>
      </c>
      <c r="M38" s="143">
        <f t="shared" si="9"/>
        <v>11334</v>
      </c>
      <c r="N38" s="143">
        <f t="shared" si="9"/>
        <v>11434</v>
      </c>
      <c r="O38" s="143">
        <f t="shared" si="9"/>
        <v>11534</v>
      </c>
      <c r="P38" s="143">
        <f t="shared" si="9"/>
        <v>11634</v>
      </c>
      <c r="Q38" s="143">
        <f t="shared" si="10"/>
        <v>11734</v>
      </c>
      <c r="R38" s="143">
        <f t="shared" si="10"/>
        <v>11834</v>
      </c>
      <c r="S38" s="143">
        <f t="shared" si="10"/>
        <v>11934</v>
      </c>
    </row>
    <row r="39" spans="1:19" x14ac:dyDescent="0.25">
      <c r="A39" s="143">
        <f t="shared" si="7"/>
        <v>19935</v>
      </c>
      <c r="B39" s="143">
        <f t="shared" si="7"/>
        <v>19835</v>
      </c>
      <c r="C39" s="143">
        <f t="shared" si="7"/>
        <v>19735</v>
      </c>
      <c r="D39" s="143">
        <f t="shared" si="7"/>
        <v>19635</v>
      </c>
      <c r="E39" s="143">
        <f t="shared" si="8"/>
        <v>19535</v>
      </c>
      <c r="F39" s="143">
        <f t="shared" si="8"/>
        <v>19435</v>
      </c>
      <c r="G39" s="143">
        <f t="shared" si="8"/>
        <v>19335</v>
      </c>
      <c r="H39" s="143">
        <f t="shared" si="8"/>
        <v>19235</v>
      </c>
      <c r="I39" s="143">
        <f t="shared" si="14"/>
        <v>19135</v>
      </c>
      <c r="J39" s="143">
        <f t="shared" si="14"/>
        <v>11035</v>
      </c>
      <c r="K39" s="143">
        <f t="shared" si="14"/>
        <v>11135</v>
      </c>
      <c r="L39" s="143">
        <f t="shared" si="14"/>
        <v>11235</v>
      </c>
      <c r="M39" s="143">
        <f t="shared" si="9"/>
        <v>11335</v>
      </c>
      <c r="N39" s="143">
        <f t="shared" si="9"/>
        <v>11435</v>
      </c>
      <c r="O39" s="143">
        <f t="shared" si="9"/>
        <v>11535</v>
      </c>
      <c r="P39" s="143">
        <f t="shared" si="9"/>
        <v>11635</v>
      </c>
      <c r="Q39" s="143">
        <f t="shared" si="10"/>
        <v>11735</v>
      </c>
      <c r="R39" s="143">
        <f t="shared" si="10"/>
        <v>11835</v>
      </c>
      <c r="S39" s="143">
        <f t="shared" si="10"/>
        <v>11935</v>
      </c>
    </row>
    <row r="40" spans="1:19" x14ac:dyDescent="0.25">
      <c r="A40" s="143">
        <f t="shared" si="7"/>
        <v>19936</v>
      </c>
      <c r="B40" s="143">
        <f t="shared" si="7"/>
        <v>19836</v>
      </c>
      <c r="C40" s="143">
        <f t="shared" si="7"/>
        <v>19736</v>
      </c>
      <c r="D40" s="143">
        <f t="shared" si="7"/>
        <v>19636</v>
      </c>
      <c r="E40" s="143">
        <f t="shared" si="8"/>
        <v>19536</v>
      </c>
      <c r="F40" s="143">
        <f t="shared" si="8"/>
        <v>19436</v>
      </c>
      <c r="G40" s="143">
        <f t="shared" si="8"/>
        <v>19336</v>
      </c>
      <c r="H40" s="143">
        <f t="shared" si="8"/>
        <v>19236</v>
      </c>
      <c r="I40" s="143">
        <f t="shared" si="14"/>
        <v>19136</v>
      </c>
      <c r="J40" s="143">
        <f t="shared" si="14"/>
        <v>11036</v>
      </c>
      <c r="K40" s="143">
        <f t="shared" si="14"/>
        <v>11136</v>
      </c>
      <c r="L40" s="143">
        <f t="shared" si="14"/>
        <v>11236</v>
      </c>
      <c r="M40" s="143">
        <f t="shared" si="9"/>
        <v>11336</v>
      </c>
      <c r="N40" s="143">
        <f t="shared" si="9"/>
        <v>11436</v>
      </c>
      <c r="O40" s="143">
        <f t="shared" si="9"/>
        <v>11536</v>
      </c>
      <c r="P40" s="143">
        <f t="shared" si="9"/>
        <v>11636</v>
      </c>
      <c r="Q40" s="143">
        <f t="shared" si="10"/>
        <v>11736</v>
      </c>
      <c r="R40" s="143">
        <f t="shared" si="10"/>
        <v>11836</v>
      </c>
      <c r="S40" s="143">
        <f t="shared" si="10"/>
        <v>11936</v>
      </c>
    </row>
    <row r="41" spans="1:19" x14ac:dyDescent="0.25">
      <c r="A41" s="143">
        <f t="shared" si="7"/>
        <v>19937</v>
      </c>
      <c r="B41" s="143">
        <f t="shared" si="7"/>
        <v>19837</v>
      </c>
      <c r="C41" s="143">
        <f t="shared" si="7"/>
        <v>19737</v>
      </c>
      <c r="D41" s="143">
        <f t="shared" si="7"/>
        <v>19637</v>
      </c>
      <c r="E41" s="143">
        <f t="shared" si="8"/>
        <v>19537</v>
      </c>
      <c r="F41" s="143">
        <f t="shared" si="8"/>
        <v>19437</v>
      </c>
      <c r="G41" s="143">
        <f t="shared" si="8"/>
        <v>19337</v>
      </c>
      <c r="H41" s="143">
        <f t="shared" si="8"/>
        <v>19237</v>
      </c>
      <c r="I41" s="143">
        <f t="shared" si="14"/>
        <v>19137</v>
      </c>
      <c r="J41" s="143">
        <f t="shared" si="14"/>
        <v>11037</v>
      </c>
      <c r="K41" s="143">
        <f t="shared" si="14"/>
        <v>11137</v>
      </c>
      <c r="L41" s="143">
        <f t="shared" si="14"/>
        <v>11237</v>
      </c>
      <c r="M41" s="143">
        <f t="shared" si="9"/>
        <v>11337</v>
      </c>
      <c r="N41" s="143">
        <f t="shared" si="9"/>
        <v>11437</v>
      </c>
      <c r="O41" s="143">
        <f t="shared" si="9"/>
        <v>11537</v>
      </c>
      <c r="P41" s="143">
        <f t="shared" si="9"/>
        <v>11637</v>
      </c>
      <c r="Q41" s="143">
        <f t="shared" si="10"/>
        <v>11737</v>
      </c>
      <c r="R41" s="143">
        <f t="shared" si="10"/>
        <v>11837</v>
      </c>
      <c r="S41" s="143">
        <f t="shared" si="10"/>
        <v>11937</v>
      </c>
    </row>
    <row r="42" spans="1:19" x14ac:dyDescent="0.25">
      <c r="A42" s="143">
        <f t="shared" si="7"/>
        <v>19938</v>
      </c>
      <c r="B42" s="143">
        <f t="shared" si="7"/>
        <v>19838</v>
      </c>
      <c r="C42" s="143">
        <f t="shared" si="7"/>
        <v>19738</v>
      </c>
      <c r="D42" s="143">
        <f t="shared" si="7"/>
        <v>19638</v>
      </c>
      <c r="E42" s="143">
        <f t="shared" si="8"/>
        <v>19538</v>
      </c>
      <c r="F42" s="143">
        <f t="shared" si="8"/>
        <v>19438</v>
      </c>
      <c r="G42" s="143">
        <f t="shared" si="8"/>
        <v>19338</v>
      </c>
      <c r="H42" s="143">
        <f t="shared" si="8"/>
        <v>19238</v>
      </c>
      <c r="I42" s="143">
        <f t="shared" si="14"/>
        <v>19138</v>
      </c>
      <c r="J42" s="143">
        <f t="shared" si="14"/>
        <v>11038</v>
      </c>
      <c r="K42" s="143">
        <f t="shared" si="14"/>
        <v>11138</v>
      </c>
      <c r="L42" s="143">
        <f t="shared" si="14"/>
        <v>11238</v>
      </c>
      <c r="M42" s="143">
        <f t="shared" si="9"/>
        <v>11338</v>
      </c>
      <c r="N42" s="143">
        <f t="shared" si="9"/>
        <v>11438</v>
      </c>
      <c r="O42" s="143">
        <f t="shared" si="9"/>
        <v>11538</v>
      </c>
      <c r="P42" s="143">
        <f t="shared" si="9"/>
        <v>11638</v>
      </c>
      <c r="Q42" s="143">
        <f t="shared" si="10"/>
        <v>11738</v>
      </c>
      <c r="R42" s="143">
        <f t="shared" si="10"/>
        <v>11838</v>
      </c>
      <c r="S42" s="143">
        <f t="shared" si="10"/>
        <v>11938</v>
      </c>
    </row>
    <row r="43" spans="1:19" x14ac:dyDescent="0.25">
      <c r="A43" s="143">
        <f t="shared" si="7"/>
        <v>19939</v>
      </c>
      <c r="B43" s="143">
        <f t="shared" si="7"/>
        <v>19839</v>
      </c>
      <c r="C43" s="143">
        <f t="shared" si="7"/>
        <v>19739</v>
      </c>
      <c r="D43" s="143">
        <f t="shared" si="7"/>
        <v>19639</v>
      </c>
      <c r="E43" s="143">
        <f t="shared" si="8"/>
        <v>19539</v>
      </c>
      <c r="F43" s="143">
        <f t="shared" si="8"/>
        <v>19439</v>
      </c>
      <c r="G43" s="143">
        <f t="shared" si="8"/>
        <v>19339</v>
      </c>
      <c r="H43" s="143">
        <f t="shared" si="8"/>
        <v>19239</v>
      </c>
      <c r="I43" s="143">
        <f t="shared" si="14"/>
        <v>19139</v>
      </c>
      <c r="J43" s="143">
        <f t="shared" si="14"/>
        <v>11039</v>
      </c>
      <c r="K43" s="143">
        <f t="shared" si="14"/>
        <v>11139</v>
      </c>
      <c r="L43" s="143">
        <f t="shared" si="14"/>
        <v>11239</v>
      </c>
      <c r="M43" s="143">
        <f t="shared" si="9"/>
        <v>11339</v>
      </c>
      <c r="N43" s="143">
        <f t="shared" si="9"/>
        <v>11439</v>
      </c>
      <c r="O43" s="143">
        <f t="shared" si="9"/>
        <v>11539</v>
      </c>
      <c r="P43" s="143">
        <f t="shared" si="9"/>
        <v>11639</v>
      </c>
      <c r="Q43" s="143">
        <f t="shared" si="10"/>
        <v>11739</v>
      </c>
      <c r="R43" s="143">
        <f t="shared" si="10"/>
        <v>11839</v>
      </c>
      <c r="S43" s="143">
        <f t="shared" si="10"/>
        <v>11939</v>
      </c>
    </row>
    <row r="44" spans="1:19" x14ac:dyDescent="0.25">
      <c r="A44" s="143">
        <f t="shared" si="7"/>
        <v>19940</v>
      </c>
      <c r="B44" s="143">
        <f t="shared" si="7"/>
        <v>19840</v>
      </c>
      <c r="C44" s="143">
        <f t="shared" si="7"/>
        <v>19740</v>
      </c>
      <c r="D44" s="143">
        <f t="shared" si="7"/>
        <v>19640</v>
      </c>
      <c r="E44" s="143">
        <f t="shared" si="8"/>
        <v>19540</v>
      </c>
      <c r="F44" s="143">
        <f t="shared" si="8"/>
        <v>19440</v>
      </c>
      <c r="G44" s="143">
        <f t="shared" si="8"/>
        <v>19340</v>
      </c>
      <c r="H44" s="143">
        <f t="shared" si="8"/>
        <v>19240</v>
      </c>
      <c r="I44" s="143">
        <f t="shared" si="14"/>
        <v>19140</v>
      </c>
      <c r="J44" s="143">
        <f t="shared" si="14"/>
        <v>11040</v>
      </c>
      <c r="K44" s="143">
        <f t="shared" si="14"/>
        <v>11140</v>
      </c>
      <c r="L44" s="143">
        <f t="shared" si="14"/>
        <v>11240</v>
      </c>
      <c r="M44" s="143">
        <f t="shared" si="9"/>
        <v>11340</v>
      </c>
      <c r="N44" s="143">
        <f t="shared" si="9"/>
        <v>11440</v>
      </c>
      <c r="O44" s="143">
        <f t="shared" si="9"/>
        <v>11540</v>
      </c>
      <c r="P44" s="143">
        <f t="shared" si="9"/>
        <v>11640</v>
      </c>
      <c r="Q44" s="143">
        <f t="shared" si="10"/>
        <v>11740</v>
      </c>
      <c r="R44" s="143">
        <f t="shared" si="10"/>
        <v>11840</v>
      </c>
      <c r="S44" s="143">
        <f t="shared" si="10"/>
        <v>11940</v>
      </c>
    </row>
    <row r="45" spans="1:19" x14ac:dyDescent="0.25">
      <c r="A45" s="143">
        <f t="shared" si="7"/>
        <v>19941</v>
      </c>
      <c r="B45" s="143">
        <f t="shared" si="7"/>
        <v>19841</v>
      </c>
      <c r="C45" s="143">
        <f t="shared" si="7"/>
        <v>19741</v>
      </c>
      <c r="D45" s="143">
        <f t="shared" si="7"/>
        <v>19641</v>
      </c>
      <c r="E45" s="143">
        <f t="shared" si="8"/>
        <v>19541</v>
      </c>
      <c r="F45" s="143">
        <f t="shared" si="8"/>
        <v>19441</v>
      </c>
      <c r="G45" s="143">
        <f t="shared" si="8"/>
        <v>19341</v>
      </c>
      <c r="H45" s="143">
        <f t="shared" si="8"/>
        <v>19241</v>
      </c>
      <c r="I45" s="143">
        <f t="shared" si="14"/>
        <v>19141</v>
      </c>
      <c r="J45" s="143">
        <f t="shared" si="14"/>
        <v>11041</v>
      </c>
      <c r="K45" s="143">
        <f t="shared" si="14"/>
        <v>11141</v>
      </c>
      <c r="L45" s="143">
        <f t="shared" si="14"/>
        <v>11241</v>
      </c>
      <c r="M45" s="143">
        <f t="shared" si="9"/>
        <v>11341</v>
      </c>
      <c r="N45" s="143">
        <f t="shared" si="9"/>
        <v>11441</v>
      </c>
      <c r="O45" s="143">
        <f t="shared" si="9"/>
        <v>11541</v>
      </c>
      <c r="P45" s="143">
        <f t="shared" si="9"/>
        <v>11641</v>
      </c>
      <c r="Q45" s="143">
        <f t="shared" si="10"/>
        <v>11741</v>
      </c>
      <c r="R45" s="143">
        <f t="shared" si="10"/>
        <v>11841</v>
      </c>
      <c r="S45" s="143">
        <f t="shared" si="10"/>
        <v>11941</v>
      </c>
    </row>
    <row r="46" spans="1:19" x14ac:dyDescent="0.25">
      <c r="A46" s="143">
        <f t="shared" si="7"/>
        <v>19942</v>
      </c>
      <c r="B46" s="143">
        <f t="shared" si="7"/>
        <v>19842</v>
      </c>
      <c r="C46" s="143">
        <f t="shared" si="7"/>
        <v>19742</v>
      </c>
      <c r="D46" s="143">
        <f t="shared" si="7"/>
        <v>19642</v>
      </c>
      <c r="E46" s="143">
        <f t="shared" si="8"/>
        <v>19542</v>
      </c>
      <c r="F46" s="143">
        <f t="shared" si="8"/>
        <v>19442</v>
      </c>
      <c r="G46" s="143">
        <f t="shared" si="8"/>
        <v>19342</v>
      </c>
      <c r="H46" s="143">
        <f t="shared" si="8"/>
        <v>19242</v>
      </c>
      <c r="I46" s="143">
        <f t="shared" si="14"/>
        <v>19142</v>
      </c>
      <c r="J46" s="143">
        <f t="shared" si="14"/>
        <v>11042</v>
      </c>
      <c r="K46" s="143">
        <f t="shared" si="14"/>
        <v>11142</v>
      </c>
      <c r="L46" s="143">
        <f t="shared" si="14"/>
        <v>11242</v>
      </c>
      <c r="M46" s="143">
        <f t="shared" si="9"/>
        <v>11342</v>
      </c>
      <c r="N46" s="143">
        <f t="shared" si="9"/>
        <v>11442</v>
      </c>
      <c r="O46" s="143">
        <f t="shared" si="9"/>
        <v>11542</v>
      </c>
      <c r="P46" s="143">
        <f t="shared" si="9"/>
        <v>11642</v>
      </c>
      <c r="Q46" s="143">
        <f t="shared" si="10"/>
        <v>11742</v>
      </c>
      <c r="R46" s="143">
        <f t="shared" si="10"/>
        <v>11842</v>
      </c>
      <c r="S46" s="143">
        <f t="shared" si="10"/>
        <v>11942</v>
      </c>
    </row>
    <row r="47" spans="1:19" x14ac:dyDescent="0.25">
      <c r="A47" s="143">
        <f t="shared" si="7"/>
        <v>19943</v>
      </c>
      <c r="B47" s="143">
        <f t="shared" si="7"/>
        <v>19843</v>
      </c>
      <c r="C47" s="143">
        <f t="shared" si="7"/>
        <v>19743</v>
      </c>
      <c r="D47" s="143">
        <f t="shared" si="7"/>
        <v>19643</v>
      </c>
      <c r="E47" s="143">
        <f t="shared" si="8"/>
        <v>19543</v>
      </c>
      <c r="F47" s="143">
        <f t="shared" si="8"/>
        <v>19443</v>
      </c>
      <c r="G47" s="143">
        <f t="shared" si="8"/>
        <v>19343</v>
      </c>
      <c r="H47" s="143">
        <f t="shared" si="8"/>
        <v>19243</v>
      </c>
      <c r="I47" s="143">
        <f t="shared" si="14"/>
        <v>19143</v>
      </c>
      <c r="J47" s="143">
        <f t="shared" si="14"/>
        <v>11043</v>
      </c>
      <c r="K47" s="143">
        <f t="shared" si="14"/>
        <v>11143</v>
      </c>
      <c r="L47" s="143">
        <f t="shared" si="14"/>
        <v>11243</v>
      </c>
      <c r="M47" s="143">
        <f t="shared" si="9"/>
        <v>11343</v>
      </c>
      <c r="N47" s="143">
        <f t="shared" si="9"/>
        <v>11443</v>
      </c>
      <c r="O47" s="143">
        <f t="shared" si="9"/>
        <v>11543</v>
      </c>
      <c r="P47" s="143">
        <f t="shared" si="9"/>
        <v>11643</v>
      </c>
      <c r="Q47" s="143">
        <f t="shared" si="10"/>
        <v>11743</v>
      </c>
      <c r="R47" s="143">
        <f t="shared" si="10"/>
        <v>11843</v>
      </c>
      <c r="S47" s="143">
        <f t="shared" si="10"/>
        <v>11943</v>
      </c>
    </row>
    <row r="48" spans="1:19" x14ac:dyDescent="0.25">
      <c r="A48" s="143">
        <f t="shared" si="7"/>
        <v>19944</v>
      </c>
      <c r="B48" s="143">
        <f t="shared" si="7"/>
        <v>19844</v>
      </c>
      <c r="C48" s="143">
        <f t="shared" si="7"/>
        <v>19744</v>
      </c>
      <c r="D48" s="143">
        <f t="shared" si="7"/>
        <v>19644</v>
      </c>
      <c r="E48" s="143">
        <f t="shared" si="8"/>
        <v>19544</v>
      </c>
      <c r="F48" s="143">
        <f t="shared" si="8"/>
        <v>19444</v>
      </c>
      <c r="G48" s="143">
        <f t="shared" si="8"/>
        <v>19344</v>
      </c>
      <c r="H48" s="143">
        <f t="shared" si="8"/>
        <v>19244</v>
      </c>
      <c r="I48" s="143">
        <f t="shared" si="14"/>
        <v>19144</v>
      </c>
      <c r="J48" s="143">
        <f t="shared" si="14"/>
        <v>11044</v>
      </c>
      <c r="K48" s="143">
        <f t="shared" si="14"/>
        <v>11144</v>
      </c>
      <c r="L48" s="143">
        <f t="shared" si="14"/>
        <v>11244</v>
      </c>
      <c r="M48" s="143">
        <f t="shared" si="9"/>
        <v>11344</v>
      </c>
      <c r="N48" s="143">
        <f t="shared" si="9"/>
        <v>11444</v>
      </c>
      <c r="O48" s="143">
        <f t="shared" si="9"/>
        <v>11544</v>
      </c>
      <c r="P48" s="143">
        <f t="shared" si="9"/>
        <v>11644</v>
      </c>
      <c r="Q48" s="143">
        <f t="shared" si="10"/>
        <v>11744</v>
      </c>
      <c r="R48" s="143">
        <f t="shared" si="10"/>
        <v>11844</v>
      </c>
      <c r="S48" s="143">
        <f t="shared" si="10"/>
        <v>11944</v>
      </c>
    </row>
    <row r="49" spans="1:19" x14ac:dyDescent="0.25">
      <c r="A49" s="143">
        <f t="shared" si="7"/>
        <v>19945</v>
      </c>
      <c r="B49" s="143">
        <f t="shared" si="7"/>
        <v>19845</v>
      </c>
      <c r="C49" s="143">
        <f t="shared" si="7"/>
        <v>19745</v>
      </c>
      <c r="D49" s="143">
        <f t="shared" si="7"/>
        <v>19645</v>
      </c>
      <c r="E49" s="143">
        <f t="shared" si="8"/>
        <v>19545</v>
      </c>
      <c r="F49" s="143">
        <f t="shared" si="8"/>
        <v>19445</v>
      </c>
      <c r="G49" s="143">
        <f t="shared" si="8"/>
        <v>19345</v>
      </c>
      <c r="H49" s="143">
        <f t="shared" si="8"/>
        <v>19245</v>
      </c>
      <c r="I49" s="143">
        <f t="shared" si="14"/>
        <v>19145</v>
      </c>
      <c r="J49" s="143">
        <f t="shared" si="14"/>
        <v>11045</v>
      </c>
      <c r="K49" s="143">
        <f t="shared" si="14"/>
        <v>11145</v>
      </c>
      <c r="L49" s="143">
        <f t="shared" si="14"/>
        <v>11245</v>
      </c>
      <c r="M49" s="143">
        <f t="shared" si="9"/>
        <v>11345</v>
      </c>
      <c r="N49" s="143">
        <f t="shared" si="9"/>
        <v>11445</v>
      </c>
      <c r="O49" s="143">
        <f t="shared" si="9"/>
        <v>11545</v>
      </c>
      <c r="P49" s="143">
        <f t="shared" si="9"/>
        <v>11645</v>
      </c>
      <c r="Q49" s="143">
        <f t="shared" si="10"/>
        <v>11745</v>
      </c>
      <c r="R49" s="143">
        <f t="shared" si="10"/>
        <v>11845</v>
      </c>
      <c r="S49" s="143">
        <f t="shared" si="10"/>
        <v>11945</v>
      </c>
    </row>
    <row r="50" spans="1:19" x14ac:dyDescent="0.25">
      <c r="A50" s="143">
        <f t="shared" si="7"/>
        <v>19946</v>
      </c>
      <c r="B50" s="143">
        <f t="shared" si="7"/>
        <v>19846</v>
      </c>
      <c r="C50" s="143">
        <f t="shared" si="7"/>
        <v>19746</v>
      </c>
      <c r="D50" s="143">
        <f t="shared" si="7"/>
        <v>19646</v>
      </c>
      <c r="E50" s="143">
        <f t="shared" si="8"/>
        <v>19546</v>
      </c>
      <c r="F50" s="143">
        <f t="shared" si="8"/>
        <v>19446</v>
      </c>
      <c r="G50" s="143">
        <f t="shared" si="8"/>
        <v>19346</v>
      </c>
      <c r="H50" s="143">
        <f t="shared" si="8"/>
        <v>19246</v>
      </c>
      <c r="I50" s="143">
        <f t="shared" si="14"/>
        <v>19146</v>
      </c>
      <c r="J50" s="143">
        <f t="shared" si="14"/>
        <v>11046</v>
      </c>
      <c r="K50" s="143">
        <f t="shared" si="14"/>
        <v>11146</v>
      </c>
      <c r="L50" s="143">
        <f t="shared" si="14"/>
        <v>11246</v>
      </c>
      <c r="M50" s="143">
        <f t="shared" si="9"/>
        <v>11346</v>
      </c>
      <c r="N50" s="143">
        <f t="shared" si="9"/>
        <v>11446</v>
      </c>
      <c r="O50" s="143">
        <f t="shared" si="9"/>
        <v>11546</v>
      </c>
      <c r="P50" s="143">
        <f t="shared" si="9"/>
        <v>11646</v>
      </c>
      <c r="Q50" s="143">
        <f t="shared" si="10"/>
        <v>11746</v>
      </c>
      <c r="R50" s="143">
        <f t="shared" si="10"/>
        <v>11846</v>
      </c>
      <c r="S50" s="143">
        <f t="shared" si="10"/>
        <v>11946</v>
      </c>
    </row>
    <row r="51" spans="1:19" x14ac:dyDescent="0.25">
      <c r="A51" s="143">
        <f t="shared" si="7"/>
        <v>19947</v>
      </c>
      <c r="B51" s="143">
        <f t="shared" si="7"/>
        <v>19847</v>
      </c>
      <c r="C51" s="143">
        <f t="shared" si="7"/>
        <v>19747</v>
      </c>
      <c r="D51" s="143">
        <f t="shared" si="7"/>
        <v>19647</v>
      </c>
      <c r="E51" s="143">
        <f t="shared" si="8"/>
        <v>19547</v>
      </c>
      <c r="F51" s="143">
        <f t="shared" si="8"/>
        <v>19447</v>
      </c>
      <c r="G51" s="143">
        <f t="shared" si="8"/>
        <v>19347</v>
      </c>
      <c r="H51" s="143">
        <f t="shared" si="8"/>
        <v>19247</v>
      </c>
      <c r="I51" s="143">
        <f t="shared" si="14"/>
        <v>19147</v>
      </c>
      <c r="J51" s="143">
        <f t="shared" si="14"/>
        <v>11047</v>
      </c>
      <c r="K51" s="143">
        <f t="shared" si="14"/>
        <v>11147</v>
      </c>
      <c r="L51" s="143">
        <f t="shared" si="14"/>
        <v>11247</v>
      </c>
      <c r="M51" s="143">
        <f t="shared" si="9"/>
        <v>11347</v>
      </c>
      <c r="N51" s="143">
        <f t="shared" si="9"/>
        <v>11447</v>
      </c>
      <c r="O51" s="143">
        <f t="shared" si="9"/>
        <v>11547</v>
      </c>
      <c r="P51" s="143">
        <f t="shared" si="9"/>
        <v>11647</v>
      </c>
      <c r="Q51" s="143">
        <f t="shared" si="10"/>
        <v>11747</v>
      </c>
      <c r="R51" s="143">
        <f t="shared" si="10"/>
        <v>11847</v>
      </c>
      <c r="S51" s="143">
        <f t="shared" si="10"/>
        <v>11947</v>
      </c>
    </row>
    <row r="52" spans="1:19" x14ac:dyDescent="0.25">
      <c r="A52" s="143">
        <f t="shared" si="7"/>
        <v>19948</v>
      </c>
      <c r="B52" s="143">
        <f t="shared" si="7"/>
        <v>19848</v>
      </c>
      <c r="C52" s="143">
        <f t="shared" si="7"/>
        <v>19748</v>
      </c>
      <c r="D52" s="143">
        <f t="shared" si="7"/>
        <v>19648</v>
      </c>
      <c r="E52" s="143">
        <f t="shared" si="8"/>
        <v>19548</v>
      </c>
      <c r="F52" s="143">
        <f t="shared" si="8"/>
        <v>19448</v>
      </c>
      <c r="G52" s="143">
        <f t="shared" si="8"/>
        <v>19348</v>
      </c>
      <c r="H52" s="143">
        <f t="shared" si="8"/>
        <v>19248</v>
      </c>
      <c r="I52" s="143">
        <f t="shared" si="14"/>
        <v>19148</v>
      </c>
      <c r="J52" s="143">
        <f t="shared" si="14"/>
        <v>11048</v>
      </c>
      <c r="K52" s="143">
        <f t="shared" si="14"/>
        <v>11148</v>
      </c>
      <c r="L52" s="143">
        <f t="shared" si="14"/>
        <v>11248</v>
      </c>
      <c r="M52" s="143">
        <f t="shared" si="9"/>
        <v>11348</v>
      </c>
      <c r="N52" s="143">
        <f t="shared" si="9"/>
        <v>11448</v>
      </c>
      <c r="O52" s="143">
        <f t="shared" si="9"/>
        <v>11548</v>
      </c>
      <c r="P52" s="143">
        <f t="shared" si="9"/>
        <v>11648</v>
      </c>
      <c r="Q52" s="143">
        <f t="shared" si="10"/>
        <v>11748</v>
      </c>
      <c r="R52" s="143">
        <f t="shared" si="10"/>
        <v>11848</v>
      </c>
      <c r="S52" s="143">
        <f t="shared" si="10"/>
        <v>11948</v>
      </c>
    </row>
    <row r="53" spans="1:19" x14ac:dyDescent="0.25">
      <c r="A53" s="143">
        <f t="shared" si="7"/>
        <v>19949</v>
      </c>
      <c r="B53" s="143">
        <f t="shared" si="7"/>
        <v>19849</v>
      </c>
      <c r="C53" s="143">
        <f t="shared" si="7"/>
        <v>19749</v>
      </c>
      <c r="D53" s="143">
        <f t="shared" si="7"/>
        <v>19649</v>
      </c>
      <c r="E53" s="143">
        <f t="shared" si="8"/>
        <v>19549</v>
      </c>
      <c r="F53" s="143">
        <f t="shared" si="8"/>
        <v>19449</v>
      </c>
      <c r="G53" s="143">
        <f t="shared" si="8"/>
        <v>19349</v>
      </c>
      <c r="H53" s="143">
        <f t="shared" si="8"/>
        <v>19249</v>
      </c>
      <c r="I53" s="143">
        <f t="shared" si="14"/>
        <v>19149</v>
      </c>
      <c r="J53" s="143">
        <f t="shared" si="14"/>
        <v>11049</v>
      </c>
      <c r="K53" s="143">
        <f t="shared" si="14"/>
        <v>11149</v>
      </c>
      <c r="L53" s="143">
        <f t="shared" si="14"/>
        <v>11249</v>
      </c>
      <c r="M53" s="143">
        <f t="shared" si="9"/>
        <v>11349</v>
      </c>
      <c r="N53" s="143">
        <f t="shared" si="9"/>
        <v>11449</v>
      </c>
      <c r="O53" s="143">
        <f t="shared" si="9"/>
        <v>11549</v>
      </c>
      <c r="P53" s="143">
        <f t="shared" si="9"/>
        <v>11649</v>
      </c>
      <c r="Q53" s="143">
        <f t="shared" si="10"/>
        <v>11749</v>
      </c>
      <c r="R53" s="143">
        <f t="shared" si="10"/>
        <v>11849</v>
      </c>
      <c r="S53" s="143">
        <f t="shared" si="10"/>
        <v>11949</v>
      </c>
    </row>
    <row r="54" spans="1:19" x14ac:dyDescent="0.25">
      <c r="A54" s="143">
        <f t="shared" si="7"/>
        <v>19950</v>
      </c>
      <c r="B54" s="143">
        <f t="shared" si="7"/>
        <v>19850</v>
      </c>
      <c r="C54" s="143">
        <f t="shared" si="7"/>
        <v>19750</v>
      </c>
      <c r="D54" s="143">
        <f t="shared" si="7"/>
        <v>19650</v>
      </c>
      <c r="E54" s="143">
        <f t="shared" si="8"/>
        <v>19550</v>
      </c>
      <c r="F54" s="143">
        <f t="shared" si="8"/>
        <v>19450</v>
      </c>
      <c r="G54" s="143">
        <f t="shared" si="8"/>
        <v>19350</v>
      </c>
      <c r="H54" s="143">
        <f t="shared" si="8"/>
        <v>19250</v>
      </c>
      <c r="I54" s="143">
        <f t="shared" si="14"/>
        <v>19150</v>
      </c>
      <c r="J54" s="143">
        <f t="shared" si="14"/>
        <v>11050</v>
      </c>
      <c r="K54" s="143">
        <f t="shared" si="14"/>
        <v>11150</v>
      </c>
      <c r="L54" s="143">
        <f t="shared" si="14"/>
        <v>11250</v>
      </c>
      <c r="M54" s="143">
        <f t="shared" si="9"/>
        <v>11350</v>
      </c>
      <c r="N54" s="143">
        <f t="shared" si="9"/>
        <v>11450</v>
      </c>
      <c r="O54" s="143">
        <f t="shared" si="9"/>
        <v>11550</v>
      </c>
      <c r="P54" s="143">
        <f t="shared" si="9"/>
        <v>11650</v>
      </c>
      <c r="Q54" s="143">
        <f t="shared" si="10"/>
        <v>11750</v>
      </c>
      <c r="R54" s="143">
        <f t="shared" si="10"/>
        <v>11850</v>
      </c>
      <c r="S54" s="143">
        <f t="shared" si="10"/>
        <v>11950</v>
      </c>
    </row>
    <row r="55" spans="1:19" x14ac:dyDescent="0.25">
      <c r="A55" s="143">
        <f t="shared" si="7"/>
        <v>19951</v>
      </c>
      <c r="B55" s="143">
        <f t="shared" si="7"/>
        <v>19851</v>
      </c>
      <c r="C55" s="143">
        <f t="shared" si="7"/>
        <v>19751</v>
      </c>
      <c r="D55" s="143">
        <f t="shared" si="7"/>
        <v>19651</v>
      </c>
      <c r="E55" s="143">
        <f t="shared" si="8"/>
        <v>19551</v>
      </c>
      <c r="F55" s="143">
        <f t="shared" si="8"/>
        <v>19451</v>
      </c>
      <c r="G55" s="143">
        <f t="shared" si="8"/>
        <v>19351</v>
      </c>
      <c r="H55" s="143">
        <f t="shared" si="8"/>
        <v>19251</v>
      </c>
      <c r="I55" s="143">
        <f t="shared" si="14"/>
        <v>19151</v>
      </c>
      <c r="J55" s="143">
        <f t="shared" si="14"/>
        <v>11051</v>
      </c>
      <c r="K55" s="143">
        <f t="shared" si="14"/>
        <v>11151</v>
      </c>
      <c r="L55" s="143">
        <f t="shared" si="14"/>
        <v>11251</v>
      </c>
      <c r="M55" s="143">
        <f t="shared" si="9"/>
        <v>11351</v>
      </c>
      <c r="N55" s="143">
        <f t="shared" si="9"/>
        <v>11451</v>
      </c>
      <c r="O55" s="143">
        <f t="shared" si="9"/>
        <v>11551</v>
      </c>
      <c r="P55" s="143">
        <f t="shared" si="9"/>
        <v>11651</v>
      </c>
      <c r="Q55" s="143">
        <f t="shared" si="10"/>
        <v>11751</v>
      </c>
      <c r="R55" s="143">
        <f t="shared" si="10"/>
        <v>11851</v>
      </c>
      <c r="S55" s="143">
        <f t="shared" si="10"/>
        <v>11951</v>
      </c>
    </row>
    <row r="56" spans="1:19" x14ac:dyDescent="0.25">
      <c r="A56" s="143">
        <f t="shared" si="7"/>
        <v>19952</v>
      </c>
      <c r="B56" s="143">
        <f t="shared" si="7"/>
        <v>19852</v>
      </c>
      <c r="C56" s="143">
        <f t="shared" si="7"/>
        <v>19752</v>
      </c>
      <c r="D56" s="143">
        <f t="shared" si="7"/>
        <v>19652</v>
      </c>
      <c r="E56" s="143">
        <f t="shared" si="8"/>
        <v>19552</v>
      </c>
      <c r="F56" s="143">
        <f t="shared" si="8"/>
        <v>19452</v>
      </c>
      <c r="G56" s="143">
        <f t="shared" si="8"/>
        <v>19352</v>
      </c>
      <c r="H56" s="143">
        <f t="shared" si="8"/>
        <v>19252</v>
      </c>
      <c r="I56" s="143">
        <f t="shared" si="14"/>
        <v>19152</v>
      </c>
      <c r="J56" s="143">
        <f t="shared" si="14"/>
        <v>11052</v>
      </c>
      <c r="K56" s="143">
        <f t="shared" si="14"/>
        <v>11152</v>
      </c>
      <c r="L56" s="143">
        <f t="shared" si="14"/>
        <v>11252</v>
      </c>
      <c r="M56" s="143">
        <f t="shared" si="9"/>
        <v>11352</v>
      </c>
      <c r="N56" s="143">
        <f t="shared" si="9"/>
        <v>11452</v>
      </c>
      <c r="O56" s="143">
        <f t="shared" si="9"/>
        <v>11552</v>
      </c>
      <c r="P56" s="143">
        <f t="shared" si="9"/>
        <v>11652</v>
      </c>
      <c r="Q56" s="143">
        <f t="shared" si="10"/>
        <v>11752</v>
      </c>
      <c r="R56" s="143">
        <f t="shared" si="10"/>
        <v>11852</v>
      </c>
      <c r="S56" s="143">
        <f t="shared" si="10"/>
        <v>11952</v>
      </c>
    </row>
    <row r="57" spans="1:19" x14ac:dyDescent="0.25">
      <c r="A57" s="143">
        <f t="shared" si="7"/>
        <v>19953</v>
      </c>
      <c r="B57" s="143">
        <f t="shared" si="7"/>
        <v>19853</v>
      </c>
      <c r="C57" s="143">
        <f t="shared" si="7"/>
        <v>19753</v>
      </c>
      <c r="D57" s="143">
        <f t="shared" si="7"/>
        <v>19653</v>
      </c>
      <c r="E57" s="143">
        <f t="shared" si="8"/>
        <v>19553</v>
      </c>
      <c r="F57" s="143">
        <f t="shared" si="8"/>
        <v>19453</v>
      </c>
      <c r="G57" s="143">
        <f t="shared" si="8"/>
        <v>19353</v>
      </c>
      <c r="H57" s="143">
        <f t="shared" si="8"/>
        <v>19253</v>
      </c>
      <c r="I57" s="143">
        <f t="shared" si="14"/>
        <v>19153</v>
      </c>
      <c r="J57" s="143">
        <f t="shared" si="14"/>
        <v>11053</v>
      </c>
      <c r="K57" s="143">
        <f t="shared" si="14"/>
        <v>11153</v>
      </c>
      <c r="L57" s="143">
        <f t="shared" si="14"/>
        <v>11253</v>
      </c>
      <c r="M57" s="143">
        <f t="shared" si="9"/>
        <v>11353</v>
      </c>
      <c r="N57" s="143">
        <f t="shared" si="9"/>
        <v>11453</v>
      </c>
      <c r="O57" s="143">
        <f t="shared" si="9"/>
        <v>11553</v>
      </c>
      <c r="P57" s="143">
        <f t="shared" si="9"/>
        <v>11653</v>
      </c>
      <c r="Q57" s="143">
        <f t="shared" si="10"/>
        <v>11753</v>
      </c>
      <c r="R57" s="143">
        <f t="shared" si="10"/>
        <v>11853</v>
      </c>
      <c r="S57" s="143">
        <f t="shared" si="10"/>
        <v>11953</v>
      </c>
    </row>
    <row r="58" spans="1:19" x14ac:dyDescent="0.25">
      <c r="A58" s="143">
        <f t="shared" si="7"/>
        <v>19954</v>
      </c>
      <c r="B58" s="143">
        <f t="shared" si="7"/>
        <v>19854</v>
      </c>
      <c r="C58" s="143">
        <f t="shared" si="7"/>
        <v>19754</v>
      </c>
      <c r="D58" s="143">
        <f t="shared" si="7"/>
        <v>19654</v>
      </c>
      <c r="E58" s="143">
        <f t="shared" si="8"/>
        <v>19554</v>
      </c>
      <c r="F58" s="143">
        <f t="shared" si="8"/>
        <v>19454</v>
      </c>
      <c r="G58" s="143">
        <f t="shared" si="8"/>
        <v>19354</v>
      </c>
      <c r="H58" s="143">
        <f t="shared" si="8"/>
        <v>19254</v>
      </c>
      <c r="I58" s="143">
        <f t="shared" si="14"/>
        <v>19154</v>
      </c>
      <c r="J58" s="143">
        <f t="shared" si="14"/>
        <v>11054</v>
      </c>
      <c r="K58" s="143">
        <f t="shared" si="14"/>
        <v>11154</v>
      </c>
      <c r="L58" s="143">
        <f t="shared" si="14"/>
        <v>11254</v>
      </c>
      <c r="M58" s="143">
        <f t="shared" si="9"/>
        <v>11354</v>
      </c>
      <c r="N58" s="143">
        <f t="shared" si="9"/>
        <v>11454</v>
      </c>
      <c r="O58" s="143">
        <f t="shared" si="9"/>
        <v>11554</v>
      </c>
      <c r="P58" s="143">
        <f t="shared" si="9"/>
        <v>11654</v>
      </c>
      <c r="Q58" s="143">
        <f t="shared" si="10"/>
        <v>11754</v>
      </c>
      <c r="R58" s="143">
        <f t="shared" si="10"/>
        <v>11854</v>
      </c>
      <c r="S58" s="143">
        <f t="shared" si="10"/>
        <v>11954</v>
      </c>
    </row>
    <row r="59" spans="1:19" x14ac:dyDescent="0.25">
      <c r="A59" s="143">
        <f t="shared" si="7"/>
        <v>19955</v>
      </c>
      <c r="B59" s="143">
        <f t="shared" si="7"/>
        <v>19855</v>
      </c>
      <c r="C59" s="143">
        <f t="shared" si="7"/>
        <v>19755</v>
      </c>
      <c r="D59" s="143">
        <f t="shared" si="7"/>
        <v>19655</v>
      </c>
      <c r="E59" s="143">
        <f t="shared" si="8"/>
        <v>19555</v>
      </c>
      <c r="F59" s="143">
        <f t="shared" si="8"/>
        <v>19455</v>
      </c>
      <c r="G59" s="143">
        <f t="shared" si="8"/>
        <v>19355</v>
      </c>
      <c r="H59" s="143">
        <f t="shared" si="8"/>
        <v>19255</v>
      </c>
      <c r="I59" s="143">
        <f t="shared" si="14"/>
        <v>19155</v>
      </c>
      <c r="J59" s="143">
        <f t="shared" si="14"/>
        <v>11055</v>
      </c>
      <c r="K59" s="143">
        <f t="shared" si="14"/>
        <v>11155</v>
      </c>
      <c r="L59" s="143">
        <f t="shared" si="14"/>
        <v>11255</v>
      </c>
      <c r="M59" s="143">
        <f t="shared" si="9"/>
        <v>11355</v>
      </c>
      <c r="N59" s="143">
        <f t="shared" si="9"/>
        <v>11455</v>
      </c>
      <c r="O59" s="143">
        <f t="shared" si="9"/>
        <v>11555</v>
      </c>
      <c r="P59" s="143">
        <f t="shared" si="9"/>
        <v>11655</v>
      </c>
      <c r="Q59" s="143">
        <f t="shared" si="10"/>
        <v>11755</v>
      </c>
      <c r="R59" s="143">
        <f t="shared" si="10"/>
        <v>11855</v>
      </c>
      <c r="S59" s="143">
        <f t="shared" si="10"/>
        <v>11955</v>
      </c>
    </row>
    <row r="60" spans="1:19" x14ac:dyDescent="0.25">
      <c r="A60" s="143">
        <f t="shared" si="7"/>
        <v>19956</v>
      </c>
      <c r="B60" s="143">
        <f t="shared" si="7"/>
        <v>19856</v>
      </c>
      <c r="C60" s="143">
        <f t="shared" si="7"/>
        <v>19756</v>
      </c>
      <c r="D60" s="143">
        <f t="shared" si="7"/>
        <v>19656</v>
      </c>
      <c r="E60" s="143">
        <f t="shared" si="8"/>
        <v>19556</v>
      </c>
      <c r="F60" s="143">
        <f t="shared" si="8"/>
        <v>19456</v>
      </c>
      <c r="G60" s="143">
        <f t="shared" si="8"/>
        <v>19356</v>
      </c>
      <c r="H60" s="143">
        <f t="shared" si="8"/>
        <v>19256</v>
      </c>
      <c r="I60" s="143">
        <f t="shared" si="14"/>
        <v>19156</v>
      </c>
      <c r="J60" s="143">
        <f t="shared" si="14"/>
        <v>11056</v>
      </c>
      <c r="K60" s="143">
        <f t="shared" si="14"/>
        <v>11156</v>
      </c>
      <c r="L60" s="143">
        <f t="shared" si="14"/>
        <v>11256</v>
      </c>
      <c r="M60" s="143">
        <f t="shared" si="9"/>
        <v>11356</v>
      </c>
      <c r="N60" s="143">
        <f t="shared" si="9"/>
        <v>11456</v>
      </c>
      <c r="O60" s="143">
        <f t="shared" si="9"/>
        <v>11556</v>
      </c>
      <c r="P60" s="143">
        <f t="shared" si="9"/>
        <v>11656</v>
      </c>
      <c r="Q60" s="143">
        <f t="shared" si="10"/>
        <v>11756</v>
      </c>
      <c r="R60" s="143">
        <f t="shared" si="10"/>
        <v>11856</v>
      </c>
      <c r="S60" s="143">
        <f t="shared" si="10"/>
        <v>11956</v>
      </c>
    </row>
    <row r="61" spans="1:19" x14ac:dyDescent="0.25">
      <c r="A61" s="143">
        <f t="shared" si="7"/>
        <v>19957</v>
      </c>
      <c r="B61" s="143">
        <f t="shared" si="7"/>
        <v>19857</v>
      </c>
      <c r="C61" s="143">
        <f t="shared" si="7"/>
        <v>19757</v>
      </c>
      <c r="D61" s="143">
        <f t="shared" si="7"/>
        <v>19657</v>
      </c>
      <c r="E61" s="143">
        <f t="shared" si="8"/>
        <v>19557</v>
      </c>
      <c r="F61" s="143">
        <f t="shared" si="8"/>
        <v>19457</v>
      </c>
      <c r="G61" s="143">
        <f t="shared" si="8"/>
        <v>19357</v>
      </c>
      <c r="H61" s="143">
        <f t="shared" si="8"/>
        <v>19257</v>
      </c>
      <c r="I61" s="143">
        <f t="shared" si="14"/>
        <v>19157</v>
      </c>
      <c r="J61" s="143">
        <f t="shared" si="14"/>
        <v>11057</v>
      </c>
      <c r="K61" s="143">
        <f t="shared" si="14"/>
        <v>11157</v>
      </c>
      <c r="L61" s="143">
        <f t="shared" si="14"/>
        <v>11257</v>
      </c>
      <c r="M61" s="143">
        <f t="shared" si="9"/>
        <v>11357</v>
      </c>
      <c r="N61" s="143">
        <f t="shared" si="9"/>
        <v>11457</v>
      </c>
      <c r="O61" s="143">
        <f t="shared" si="9"/>
        <v>11557</v>
      </c>
      <c r="P61" s="143">
        <f t="shared" si="9"/>
        <v>11657</v>
      </c>
      <c r="Q61" s="143">
        <f t="shared" si="10"/>
        <v>11757</v>
      </c>
      <c r="R61" s="143">
        <f t="shared" si="10"/>
        <v>11857</v>
      </c>
      <c r="S61" s="143">
        <f t="shared" si="10"/>
        <v>11957</v>
      </c>
    </row>
    <row r="62" spans="1:19" x14ac:dyDescent="0.25">
      <c r="A62" s="143">
        <f t="shared" si="7"/>
        <v>19958</v>
      </c>
      <c r="B62" s="143">
        <f t="shared" si="7"/>
        <v>19858</v>
      </c>
      <c r="C62" s="143">
        <f t="shared" si="7"/>
        <v>19758</v>
      </c>
      <c r="D62" s="143">
        <f t="shared" si="7"/>
        <v>19658</v>
      </c>
      <c r="E62" s="143">
        <f t="shared" si="8"/>
        <v>19558</v>
      </c>
      <c r="F62" s="143">
        <f t="shared" si="8"/>
        <v>19458</v>
      </c>
      <c r="G62" s="143">
        <f t="shared" si="8"/>
        <v>19358</v>
      </c>
      <c r="H62" s="143">
        <f t="shared" si="8"/>
        <v>19258</v>
      </c>
      <c r="I62" s="143">
        <f t="shared" si="14"/>
        <v>19158</v>
      </c>
      <c r="J62" s="143">
        <f t="shared" si="14"/>
        <v>11058</v>
      </c>
      <c r="K62" s="143">
        <f t="shared" si="14"/>
        <v>11158</v>
      </c>
      <c r="L62" s="143">
        <f t="shared" si="14"/>
        <v>11258</v>
      </c>
      <c r="M62" s="143">
        <f t="shared" si="9"/>
        <v>11358</v>
      </c>
      <c r="N62" s="143">
        <f t="shared" si="9"/>
        <v>11458</v>
      </c>
      <c r="O62" s="143">
        <f t="shared" si="9"/>
        <v>11558</v>
      </c>
      <c r="P62" s="143">
        <f t="shared" si="9"/>
        <v>11658</v>
      </c>
      <c r="Q62" s="143">
        <f t="shared" si="10"/>
        <v>11758</v>
      </c>
      <c r="R62" s="143">
        <f t="shared" si="10"/>
        <v>11858</v>
      </c>
      <c r="S62" s="143">
        <f t="shared" si="10"/>
        <v>11958</v>
      </c>
    </row>
    <row r="63" spans="1:19" x14ac:dyDescent="0.25">
      <c r="A63" s="143">
        <f t="shared" si="7"/>
        <v>19959</v>
      </c>
      <c r="B63" s="143">
        <f t="shared" si="7"/>
        <v>19859</v>
      </c>
      <c r="C63" s="143">
        <f t="shared" si="7"/>
        <v>19759</v>
      </c>
      <c r="D63" s="143">
        <f t="shared" si="7"/>
        <v>19659</v>
      </c>
      <c r="E63" s="143">
        <f t="shared" si="8"/>
        <v>19559</v>
      </c>
      <c r="F63" s="143">
        <f t="shared" si="8"/>
        <v>19459</v>
      </c>
      <c r="G63" s="143">
        <f t="shared" si="8"/>
        <v>19359</v>
      </c>
      <c r="H63" s="143">
        <f t="shared" si="8"/>
        <v>19259</v>
      </c>
      <c r="I63" s="143">
        <f t="shared" si="14"/>
        <v>19159</v>
      </c>
      <c r="J63" s="143">
        <f t="shared" si="14"/>
        <v>11059</v>
      </c>
      <c r="K63" s="143">
        <f t="shared" si="14"/>
        <v>11159</v>
      </c>
      <c r="L63" s="143">
        <f t="shared" si="14"/>
        <v>11259</v>
      </c>
      <c r="M63" s="143">
        <f t="shared" si="9"/>
        <v>11359</v>
      </c>
      <c r="N63" s="143">
        <f t="shared" si="9"/>
        <v>11459</v>
      </c>
      <c r="O63" s="143">
        <f t="shared" si="9"/>
        <v>11559</v>
      </c>
      <c r="P63" s="143">
        <f t="shared" si="9"/>
        <v>11659</v>
      </c>
      <c r="Q63" s="143">
        <f t="shared" si="10"/>
        <v>11759</v>
      </c>
      <c r="R63" s="143">
        <f t="shared" si="10"/>
        <v>11859</v>
      </c>
      <c r="S63" s="143">
        <f t="shared" si="10"/>
        <v>11959</v>
      </c>
    </row>
    <row r="64" spans="1:19" x14ac:dyDescent="0.25">
      <c r="A64" s="143">
        <f t="shared" si="7"/>
        <v>19960</v>
      </c>
      <c r="B64" s="143">
        <f t="shared" si="7"/>
        <v>19860</v>
      </c>
      <c r="C64" s="143">
        <f t="shared" si="7"/>
        <v>19760</v>
      </c>
      <c r="D64" s="143">
        <f t="shared" si="7"/>
        <v>19660</v>
      </c>
      <c r="E64" s="143">
        <f t="shared" si="8"/>
        <v>19560</v>
      </c>
      <c r="F64" s="143">
        <f t="shared" si="8"/>
        <v>19460</v>
      </c>
      <c r="G64" s="143">
        <f t="shared" si="8"/>
        <v>19360</v>
      </c>
      <c r="H64" s="143">
        <f t="shared" si="8"/>
        <v>19260</v>
      </c>
      <c r="I64" s="143">
        <f t="shared" si="14"/>
        <v>19160</v>
      </c>
      <c r="J64" s="143">
        <f t="shared" si="14"/>
        <v>11060</v>
      </c>
      <c r="K64" s="143">
        <f t="shared" si="14"/>
        <v>11160</v>
      </c>
      <c r="L64" s="143">
        <f t="shared" si="14"/>
        <v>11260</v>
      </c>
      <c r="M64" s="143">
        <f t="shared" si="9"/>
        <v>11360</v>
      </c>
      <c r="N64" s="143">
        <f t="shared" si="9"/>
        <v>11460</v>
      </c>
      <c r="O64" s="143">
        <f t="shared" si="9"/>
        <v>11560</v>
      </c>
      <c r="P64" s="143">
        <f t="shared" si="9"/>
        <v>11660</v>
      </c>
      <c r="Q64" s="143">
        <f t="shared" si="10"/>
        <v>11760</v>
      </c>
      <c r="R64" s="143">
        <f t="shared" si="10"/>
        <v>11860</v>
      </c>
      <c r="S64" s="143">
        <f t="shared" si="10"/>
        <v>11960</v>
      </c>
    </row>
    <row r="65" spans="1:19" x14ac:dyDescent="0.25">
      <c r="A65" s="143">
        <f t="shared" si="7"/>
        <v>19961</v>
      </c>
      <c r="B65" s="143">
        <f t="shared" si="7"/>
        <v>19861</v>
      </c>
      <c r="C65" s="143">
        <f t="shared" si="7"/>
        <v>19761</v>
      </c>
      <c r="D65" s="143">
        <f t="shared" si="7"/>
        <v>19661</v>
      </c>
      <c r="E65" s="143">
        <f t="shared" si="8"/>
        <v>19561</v>
      </c>
      <c r="F65" s="143">
        <f t="shared" si="8"/>
        <v>19461</v>
      </c>
      <c r="G65" s="143">
        <f t="shared" si="8"/>
        <v>19361</v>
      </c>
      <c r="H65" s="143">
        <f t="shared" si="8"/>
        <v>19261</v>
      </c>
      <c r="I65" s="143">
        <f t="shared" si="14"/>
        <v>19161</v>
      </c>
      <c r="J65" s="143">
        <f t="shared" si="14"/>
        <v>11061</v>
      </c>
      <c r="K65" s="143">
        <f t="shared" si="14"/>
        <v>11161</v>
      </c>
      <c r="L65" s="143">
        <f t="shared" si="14"/>
        <v>11261</v>
      </c>
      <c r="M65" s="143">
        <f t="shared" si="9"/>
        <v>11361</v>
      </c>
      <c r="N65" s="143">
        <f t="shared" si="9"/>
        <v>11461</v>
      </c>
      <c r="O65" s="143">
        <f t="shared" si="9"/>
        <v>11561</v>
      </c>
      <c r="P65" s="143">
        <f t="shared" si="9"/>
        <v>11661</v>
      </c>
      <c r="Q65" s="143">
        <f t="shared" si="10"/>
        <v>11761</v>
      </c>
      <c r="R65" s="143">
        <f t="shared" si="10"/>
        <v>11861</v>
      </c>
      <c r="S65" s="143">
        <f t="shared" si="10"/>
        <v>11961</v>
      </c>
    </row>
    <row r="66" spans="1:19" x14ac:dyDescent="0.25">
      <c r="A66" s="143">
        <f t="shared" si="7"/>
        <v>19962</v>
      </c>
      <c r="B66" s="143">
        <f t="shared" si="7"/>
        <v>19862</v>
      </c>
      <c r="C66" s="143">
        <f t="shared" si="7"/>
        <v>19762</v>
      </c>
      <c r="D66" s="143">
        <f t="shared" si="7"/>
        <v>19662</v>
      </c>
      <c r="E66" s="143">
        <f t="shared" si="8"/>
        <v>19562</v>
      </c>
      <c r="F66" s="143">
        <f t="shared" si="8"/>
        <v>19462</v>
      </c>
      <c r="G66" s="143">
        <f t="shared" si="8"/>
        <v>19362</v>
      </c>
      <c r="H66" s="143">
        <f t="shared" si="8"/>
        <v>19262</v>
      </c>
      <c r="I66" s="143">
        <f t="shared" si="14"/>
        <v>19162</v>
      </c>
      <c r="J66" s="143">
        <f t="shared" si="14"/>
        <v>11062</v>
      </c>
      <c r="K66" s="143">
        <f t="shared" si="14"/>
        <v>11162</v>
      </c>
      <c r="L66" s="143">
        <f t="shared" si="14"/>
        <v>11262</v>
      </c>
      <c r="M66" s="143">
        <f t="shared" si="9"/>
        <v>11362</v>
      </c>
      <c r="N66" s="143">
        <f t="shared" si="9"/>
        <v>11462</v>
      </c>
      <c r="O66" s="143">
        <f t="shared" si="9"/>
        <v>11562</v>
      </c>
      <c r="P66" s="143">
        <f t="shared" si="9"/>
        <v>11662</v>
      </c>
      <c r="Q66" s="143">
        <f t="shared" si="10"/>
        <v>11762</v>
      </c>
      <c r="R66" s="143">
        <f t="shared" si="10"/>
        <v>11862</v>
      </c>
      <c r="S66" s="143">
        <f t="shared" si="10"/>
        <v>11962</v>
      </c>
    </row>
    <row r="67" spans="1:19" x14ac:dyDescent="0.25">
      <c r="A67" s="143">
        <f t="shared" si="7"/>
        <v>19963</v>
      </c>
      <c r="B67" s="143">
        <f t="shared" si="7"/>
        <v>19863</v>
      </c>
      <c r="C67" s="143">
        <f t="shared" si="7"/>
        <v>19763</v>
      </c>
      <c r="D67" s="143">
        <f t="shared" si="7"/>
        <v>19663</v>
      </c>
      <c r="E67" s="143">
        <f t="shared" si="8"/>
        <v>19563</v>
      </c>
      <c r="F67" s="143">
        <f t="shared" si="8"/>
        <v>19463</v>
      </c>
      <c r="G67" s="143">
        <f t="shared" si="8"/>
        <v>19363</v>
      </c>
      <c r="H67" s="143">
        <f t="shared" si="8"/>
        <v>19263</v>
      </c>
      <c r="I67" s="143">
        <f t="shared" si="14"/>
        <v>19163</v>
      </c>
      <c r="J67" s="143">
        <f t="shared" si="14"/>
        <v>11063</v>
      </c>
      <c r="K67" s="143">
        <f t="shared" si="14"/>
        <v>11163</v>
      </c>
      <c r="L67" s="143">
        <f t="shared" si="14"/>
        <v>11263</v>
      </c>
      <c r="M67" s="143">
        <f t="shared" si="9"/>
        <v>11363</v>
      </c>
      <c r="N67" s="143">
        <f t="shared" si="9"/>
        <v>11463</v>
      </c>
      <c r="O67" s="143">
        <f t="shared" si="9"/>
        <v>11563</v>
      </c>
      <c r="P67" s="143">
        <f t="shared" si="9"/>
        <v>11663</v>
      </c>
      <c r="Q67" s="143">
        <f t="shared" si="10"/>
        <v>11763</v>
      </c>
      <c r="R67" s="143">
        <f t="shared" si="10"/>
        <v>11863</v>
      </c>
      <c r="S67" s="143">
        <f t="shared" si="10"/>
        <v>11963</v>
      </c>
    </row>
    <row r="68" spans="1:19" x14ac:dyDescent="0.25">
      <c r="A68" s="143">
        <f t="shared" si="7"/>
        <v>19964</v>
      </c>
      <c r="B68" s="143">
        <f t="shared" si="7"/>
        <v>19864</v>
      </c>
      <c r="C68" s="143">
        <f t="shared" si="7"/>
        <v>19764</v>
      </c>
      <c r="D68" s="143">
        <f t="shared" si="7"/>
        <v>19664</v>
      </c>
      <c r="E68" s="143">
        <f t="shared" si="8"/>
        <v>19564</v>
      </c>
      <c r="F68" s="143">
        <f t="shared" si="8"/>
        <v>19464</v>
      </c>
      <c r="G68" s="143">
        <f t="shared" si="8"/>
        <v>19364</v>
      </c>
      <c r="H68" s="143">
        <f t="shared" si="8"/>
        <v>19264</v>
      </c>
      <c r="I68" s="143">
        <f t="shared" si="14"/>
        <v>19164</v>
      </c>
      <c r="J68" s="143">
        <f t="shared" si="14"/>
        <v>11064</v>
      </c>
      <c r="K68" s="143">
        <f t="shared" si="14"/>
        <v>11164</v>
      </c>
      <c r="L68" s="143">
        <f t="shared" si="14"/>
        <v>11264</v>
      </c>
      <c r="M68" s="143">
        <f t="shared" si="9"/>
        <v>11364</v>
      </c>
      <c r="N68" s="143">
        <f t="shared" si="9"/>
        <v>11464</v>
      </c>
      <c r="O68" s="143">
        <f t="shared" si="9"/>
        <v>11564</v>
      </c>
      <c r="P68" s="143">
        <f t="shared" si="9"/>
        <v>11664</v>
      </c>
      <c r="Q68" s="143">
        <f t="shared" si="10"/>
        <v>11764</v>
      </c>
      <c r="R68" s="143">
        <f t="shared" si="10"/>
        <v>11864</v>
      </c>
      <c r="S68" s="143">
        <f t="shared" si="10"/>
        <v>11964</v>
      </c>
    </row>
    <row r="69" spans="1:19" x14ac:dyDescent="0.25">
      <c r="A69" s="143">
        <f t="shared" si="7"/>
        <v>19965</v>
      </c>
      <c r="B69" s="143">
        <f t="shared" si="7"/>
        <v>19865</v>
      </c>
      <c r="C69" s="143">
        <f t="shared" si="7"/>
        <v>19765</v>
      </c>
      <c r="D69" s="143">
        <f t="shared" si="7"/>
        <v>19665</v>
      </c>
      <c r="E69" s="143">
        <f t="shared" si="8"/>
        <v>19565</v>
      </c>
      <c r="F69" s="143">
        <f t="shared" si="8"/>
        <v>19465</v>
      </c>
      <c r="G69" s="143">
        <f t="shared" si="8"/>
        <v>19365</v>
      </c>
      <c r="H69" s="143">
        <f t="shared" si="8"/>
        <v>19265</v>
      </c>
      <c r="I69" s="143">
        <f t="shared" si="14"/>
        <v>19165</v>
      </c>
      <c r="J69" s="143">
        <f t="shared" si="14"/>
        <v>11065</v>
      </c>
      <c r="K69" s="143">
        <f t="shared" si="14"/>
        <v>11165</v>
      </c>
      <c r="L69" s="143">
        <f t="shared" si="14"/>
        <v>11265</v>
      </c>
      <c r="M69" s="143">
        <f t="shared" si="9"/>
        <v>11365</v>
      </c>
      <c r="N69" s="143">
        <f t="shared" si="9"/>
        <v>11465</v>
      </c>
      <c r="O69" s="143">
        <f t="shared" si="9"/>
        <v>11565</v>
      </c>
      <c r="P69" s="143">
        <f t="shared" si="9"/>
        <v>11665</v>
      </c>
      <c r="Q69" s="143">
        <f t="shared" si="10"/>
        <v>11765</v>
      </c>
      <c r="R69" s="143">
        <f t="shared" si="10"/>
        <v>11865</v>
      </c>
      <c r="S69" s="143">
        <f t="shared" si="10"/>
        <v>11965</v>
      </c>
    </row>
    <row r="70" spans="1:19" x14ac:dyDescent="0.25">
      <c r="A70" s="143">
        <f t="shared" si="7"/>
        <v>19966</v>
      </c>
      <c r="B70" s="143">
        <f t="shared" si="7"/>
        <v>19866</v>
      </c>
      <c r="C70" s="143">
        <f t="shared" si="7"/>
        <v>19766</v>
      </c>
      <c r="D70" s="143">
        <f t="shared" ref="D70" si="15">D69+1</f>
        <v>19666</v>
      </c>
      <c r="E70" s="143">
        <f t="shared" si="8"/>
        <v>19566</v>
      </c>
      <c r="F70" s="143">
        <f t="shared" si="8"/>
        <v>19466</v>
      </c>
      <c r="G70" s="143">
        <f t="shared" si="8"/>
        <v>19366</v>
      </c>
      <c r="H70" s="143">
        <f t="shared" ref="H70" si="16">H69+1</f>
        <v>19266</v>
      </c>
      <c r="I70" s="143">
        <f t="shared" si="14"/>
        <v>19166</v>
      </c>
      <c r="J70" s="143">
        <f t="shared" si="14"/>
        <v>11066</v>
      </c>
      <c r="K70" s="143">
        <f t="shared" si="14"/>
        <v>11166</v>
      </c>
      <c r="L70" s="143">
        <f t="shared" ref="L70:O99" si="17">L69+1</f>
        <v>11266</v>
      </c>
      <c r="M70" s="143">
        <f t="shared" si="9"/>
        <v>11366</v>
      </c>
      <c r="N70" s="143">
        <f t="shared" si="9"/>
        <v>11466</v>
      </c>
      <c r="O70" s="143">
        <f t="shared" si="9"/>
        <v>11566</v>
      </c>
      <c r="P70" s="143">
        <f t="shared" ref="P70:S99" si="18">P69+1</f>
        <v>11666</v>
      </c>
      <c r="Q70" s="143">
        <f t="shared" si="10"/>
        <v>11766</v>
      </c>
      <c r="R70" s="143">
        <f t="shared" si="10"/>
        <v>11866</v>
      </c>
      <c r="S70" s="143">
        <f t="shared" si="10"/>
        <v>11966</v>
      </c>
    </row>
    <row r="71" spans="1:19" x14ac:dyDescent="0.25">
      <c r="A71" s="143">
        <f t="shared" ref="A71:I99" si="19">A70+1</f>
        <v>19967</v>
      </c>
      <c r="B71" s="143">
        <f t="shared" si="19"/>
        <v>19867</v>
      </c>
      <c r="C71" s="143">
        <f t="shared" si="19"/>
        <v>19767</v>
      </c>
      <c r="D71" s="143">
        <f t="shared" si="19"/>
        <v>19667</v>
      </c>
      <c r="E71" s="143">
        <f t="shared" si="19"/>
        <v>19567</v>
      </c>
      <c r="F71" s="143">
        <f t="shared" si="19"/>
        <v>19467</v>
      </c>
      <c r="G71" s="143">
        <f t="shared" si="19"/>
        <v>19367</v>
      </c>
      <c r="H71" s="143">
        <f t="shared" si="19"/>
        <v>19267</v>
      </c>
      <c r="I71" s="143">
        <f t="shared" si="19"/>
        <v>19167</v>
      </c>
      <c r="J71" s="143">
        <f t="shared" ref="J71:K99" si="20">J70+1</f>
        <v>11067</v>
      </c>
      <c r="K71" s="143">
        <f t="shared" si="20"/>
        <v>11167</v>
      </c>
      <c r="L71" s="143">
        <f t="shared" si="17"/>
        <v>11267</v>
      </c>
      <c r="M71" s="143">
        <f t="shared" si="17"/>
        <v>11367</v>
      </c>
      <c r="N71" s="143">
        <f t="shared" si="17"/>
        <v>11467</v>
      </c>
      <c r="O71" s="143">
        <f t="shared" si="17"/>
        <v>11567</v>
      </c>
      <c r="P71" s="143">
        <f t="shared" si="18"/>
        <v>11667</v>
      </c>
      <c r="Q71" s="143">
        <f t="shared" si="18"/>
        <v>11767</v>
      </c>
      <c r="R71" s="143">
        <f t="shared" si="18"/>
        <v>11867</v>
      </c>
      <c r="S71" s="143">
        <f t="shared" si="18"/>
        <v>11967</v>
      </c>
    </row>
    <row r="72" spans="1:19" x14ac:dyDescent="0.25">
      <c r="A72" s="143">
        <f t="shared" si="19"/>
        <v>19968</v>
      </c>
      <c r="B72" s="143">
        <f t="shared" si="19"/>
        <v>19868</v>
      </c>
      <c r="C72" s="143">
        <f t="shared" si="19"/>
        <v>19768</v>
      </c>
      <c r="D72" s="143">
        <f t="shared" si="19"/>
        <v>19668</v>
      </c>
      <c r="E72" s="143">
        <f t="shared" si="19"/>
        <v>19568</v>
      </c>
      <c r="F72" s="143">
        <f t="shared" si="19"/>
        <v>19468</v>
      </c>
      <c r="G72" s="143">
        <f t="shared" si="19"/>
        <v>19368</v>
      </c>
      <c r="H72" s="143">
        <f t="shared" si="19"/>
        <v>19268</v>
      </c>
      <c r="I72" s="143">
        <f t="shared" si="19"/>
        <v>19168</v>
      </c>
      <c r="J72" s="143">
        <f t="shared" si="20"/>
        <v>11068</v>
      </c>
      <c r="K72" s="143">
        <f t="shared" si="20"/>
        <v>11168</v>
      </c>
      <c r="L72" s="143">
        <f t="shared" si="17"/>
        <v>11268</v>
      </c>
      <c r="M72" s="143">
        <f t="shared" si="17"/>
        <v>11368</v>
      </c>
      <c r="N72" s="143">
        <f t="shared" si="17"/>
        <v>11468</v>
      </c>
      <c r="O72" s="143">
        <f t="shared" si="17"/>
        <v>11568</v>
      </c>
      <c r="P72" s="143">
        <f t="shared" si="18"/>
        <v>11668</v>
      </c>
      <c r="Q72" s="143">
        <f t="shared" si="18"/>
        <v>11768</v>
      </c>
      <c r="R72" s="143">
        <f t="shared" si="18"/>
        <v>11868</v>
      </c>
      <c r="S72" s="143">
        <f t="shared" si="18"/>
        <v>11968</v>
      </c>
    </row>
    <row r="73" spans="1:19" x14ac:dyDescent="0.25">
      <c r="A73" s="143">
        <f t="shared" si="19"/>
        <v>19969</v>
      </c>
      <c r="B73" s="143">
        <f t="shared" si="19"/>
        <v>19869</v>
      </c>
      <c r="C73" s="143">
        <f t="shared" si="19"/>
        <v>19769</v>
      </c>
      <c r="D73" s="143">
        <f t="shared" si="19"/>
        <v>19669</v>
      </c>
      <c r="E73" s="143">
        <f t="shared" si="19"/>
        <v>19569</v>
      </c>
      <c r="F73" s="143">
        <f t="shared" si="19"/>
        <v>19469</v>
      </c>
      <c r="G73" s="143">
        <f t="shared" si="19"/>
        <v>19369</v>
      </c>
      <c r="H73" s="143">
        <f t="shared" si="19"/>
        <v>19269</v>
      </c>
      <c r="I73" s="143">
        <f t="shared" si="19"/>
        <v>19169</v>
      </c>
      <c r="J73" s="143">
        <f t="shared" si="20"/>
        <v>11069</v>
      </c>
      <c r="K73" s="143">
        <f t="shared" si="20"/>
        <v>11169</v>
      </c>
      <c r="L73" s="143">
        <f t="shared" si="17"/>
        <v>11269</v>
      </c>
      <c r="M73" s="143">
        <f t="shared" si="17"/>
        <v>11369</v>
      </c>
      <c r="N73" s="143">
        <f t="shared" si="17"/>
        <v>11469</v>
      </c>
      <c r="O73" s="143">
        <f t="shared" si="17"/>
        <v>11569</v>
      </c>
      <c r="P73" s="143">
        <f t="shared" si="18"/>
        <v>11669</v>
      </c>
      <c r="Q73" s="143">
        <f t="shared" si="18"/>
        <v>11769</v>
      </c>
      <c r="R73" s="143">
        <f t="shared" si="18"/>
        <v>11869</v>
      </c>
      <c r="S73" s="143">
        <f t="shared" si="18"/>
        <v>11969</v>
      </c>
    </row>
    <row r="74" spans="1:19" x14ac:dyDescent="0.25">
      <c r="A74" s="143">
        <f t="shared" si="19"/>
        <v>19970</v>
      </c>
      <c r="B74" s="143">
        <f t="shared" si="19"/>
        <v>19870</v>
      </c>
      <c r="C74" s="143">
        <f t="shared" si="19"/>
        <v>19770</v>
      </c>
      <c r="D74" s="143">
        <f t="shared" si="19"/>
        <v>19670</v>
      </c>
      <c r="E74" s="143">
        <f t="shared" si="19"/>
        <v>19570</v>
      </c>
      <c r="F74" s="143">
        <f t="shared" si="19"/>
        <v>19470</v>
      </c>
      <c r="G74" s="143">
        <f t="shared" si="19"/>
        <v>19370</v>
      </c>
      <c r="H74" s="143">
        <f t="shared" si="19"/>
        <v>19270</v>
      </c>
      <c r="I74" s="143">
        <f t="shared" si="19"/>
        <v>19170</v>
      </c>
      <c r="J74" s="143">
        <f t="shared" si="20"/>
        <v>11070</v>
      </c>
      <c r="K74" s="143">
        <f t="shared" si="20"/>
        <v>11170</v>
      </c>
      <c r="L74" s="143">
        <f t="shared" si="17"/>
        <v>11270</v>
      </c>
      <c r="M74" s="143">
        <f t="shared" si="17"/>
        <v>11370</v>
      </c>
      <c r="N74" s="143">
        <f t="shared" si="17"/>
        <v>11470</v>
      </c>
      <c r="O74" s="143">
        <f t="shared" si="17"/>
        <v>11570</v>
      </c>
      <c r="P74" s="143">
        <f t="shared" si="18"/>
        <v>11670</v>
      </c>
      <c r="Q74" s="143">
        <f t="shared" si="18"/>
        <v>11770</v>
      </c>
      <c r="R74" s="143">
        <f t="shared" si="18"/>
        <v>11870</v>
      </c>
      <c r="S74" s="143">
        <f t="shared" si="18"/>
        <v>11970</v>
      </c>
    </row>
    <row r="75" spans="1:19" x14ac:dyDescent="0.25">
      <c r="A75" s="143">
        <f t="shared" si="19"/>
        <v>19971</v>
      </c>
      <c r="B75" s="143">
        <f t="shared" si="19"/>
        <v>19871</v>
      </c>
      <c r="C75" s="143">
        <f t="shared" si="19"/>
        <v>19771</v>
      </c>
      <c r="D75" s="143">
        <f t="shared" si="19"/>
        <v>19671</v>
      </c>
      <c r="E75" s="143">
        <f t="shared" si="19"/>
        <v>19571</v>
      </c>
      <c r="F75" s="143">
        <f t="shared" si="19"/>
        <v>19471</v>
      </c>
      <c r="G75" s="143">
        <f t="shared" si="19"/>
        <v>19371</v>
      </c>
      <c r="H75" s="143">
        <f t="shared" si="19"/>
        <v>19271</v>
      </c>
      <c r="I75" s="143">
        <f t="shared" si="19"/>
        <v>19171</v>
      </c>
      <c r="J75" s="143">
        <f t="shared" si="20"/>
        <v>11071</v>
      </c>
      <c r="K75" s="143">
        <f t="shared" si="20"/>
        <v>11171</v>
      </c>
      <c r="L75" s="143">
        <f t="shared" si="17"/>
        <v>11271</v>
      </c>
      <c r="M75" s="143">
        <f t="shared" si="17"/>
        <v>11371</v>
      </c>
      <c r="N75" s="143">
        <f t="shared" si="17"/>
        <v>11471</v>
      </c>
      <c r="O75" s="143">
        <f t="shared" si="17"/>
        <v>11571</v>
      </c>
      <c r="P75" s="143">
        <f t="shared" si="18"/>
        <v>11671</v>
      </c>
      <c r="Q75" s="143">
        <f t="shared" si="18"/>
        <v>11771</v>
      </c>
      <c r="R75" s="143">
        <f t="shared" si="18"/>
        <v>11871</v>
      </c>
      <c r="S75" s="143">
        <f t="shared" si="18"/>
        <v>11971</v>
      </c>
    </row>
    <row r="76" spans="1:19" x14ac:dyDescent="0.25">
      <c r="A76" s="143">
        <f t="shared" si="19"/>
        <v>19972</v>
      </c>
      <c r="B76" s="143">
        <f t="shared" si="19"/>
        <v>19872</v>
      </c>
      <c r="C76" s="143">
        <f t="shared" si="19"/>
        <v>19772</v>
      </c>
      <c r="D76" s="143">
        <f t="shared" si="19"/>
        <v>19672</v>
      </c>
      <c r="E76" s="143">
        <f t="shared" si="19"/>
        <v>19572</v>
      </c>
      <c r="F76" s="143">
        <f t="shared" si="19"/>
        <v>19472</v>
      </c>
      <c r="G76" s="143">
        <f t="shared" si="19"/>
        <v>19372</v>
      </c>
      <c r="H76" s="143">
        <f t="shared" si="19"/>
        <v>19272</v>
      </c>
      <c r="I76" s="143">
        <f t="shared" si="19"/>
        <v>19172</v>
      </c>
      <c r="J76" s="143">
        <f t="shared" si="20"/>
        <v>11072</v>
      </c>
      <c r="K76" s="143">
        <f t="shared" si="20"/>
        <v>11172</v>
      </c>
      <c r="L76" s="143">
        <f t="shared" si="17"/>
        <v>11272</v>
      </c>
      <c r="M76" s="143">
        <f t="shared" si="17"/>
        <v>11372</v>
      </c>
      <c r="N76" s="143">
        <f t="shared" si="17"/>
        <v>11472</v>
      </c>
      <c r="O76" s="143">
        <f t="shared" si="17"/>
        <v>11572</v>
      </c>
      <c r="P76" s="143">
        <f t="shared" si="18"/>
        <v>11672</v>
      </c>
      <c r="Q76" s="143">
        <f t="shared" si="18"/>
        <v>11772</v>
      </c>
      <c r="R76" s="143">
        <f t="shared" si="18"/>
        <v>11872</v>
      </c>
      <c r="S76" s="143">
        <f t="shared" si="18"/>
        <v>11972</v>
      </c>
    </row>
    <row r="77" spans="1:19" x14ac:dyDescent="0.25">
      <c r="A77" s="143">
        <f t="shared" si="19"/>
        <v>19973</v>
      </c>
      <c r="B77" s="143">
        <f t="shared" si="19"/>
        <v>19873</v>
      </c>
      <c r="C77" s="143">
        <f t="shared" si="19"/>
        <v>19773</v>
      </c>
      <c r="D77" s="143">
        <f t="shared" si="19"/>
        <v>19673</v>
      </c>
      <c r="E77" s="143">
        <f t="shared" si="19"/>
        <v>19573</v>
      </c>
      <c r="F77" s="143">
        <f t="shared" si="19"/>
        <v>19473</v>
      </c>
      <c r="G77" s="143">
        <f t="shared" si="19"/>
        <v>19373</v>
      </c>
      <c r="H77" s="143">
        <f t="shared" si="19"/>
        <v>19273</v>
      </c>
      <c r="I77" s="143">
        <f t="shared" si="19"/>
        <v>19173</v>
      </c>
      <c r="J77" s="143">
        <f t="shared" si="20"/>
        <v>11073</v>
      </c>
      <c r="K77" s="143">
        <f t="shared" si="20"/>
        <v>11173</v>
      </c>
      <c r="L77" s="143">
        <f t="shared" si="17"/>
        <v>11273</v>
      </c>
      <c r="M77" s="143">
        <f t="shared" si="17"/>
        <v>11373</v>
      </c>
      <c r="N77" s="143">
        <f t="shared" si="17"/>
        <v>11473</v>
      </c>
      <c r="O77" s="143">
        <f t="shared" si="17"/>
        <v>11573</v>
      </c>
      <c r="P77" s="143">
        <f t="shared" si="18"/>
        <v>11673</v>
      </c>
      <c r="Q77" s="143">
        <f t="shared" si="18"/>
        <v>11773</v>
      </c>
      <c r="R77" s="143">
        <f t="shared" si="18"/>
        <v>11873</v>
      </c>
      <c r="S77" s="143">
        <f t="shared" si="18"/>
        <v>11973</v>
      </c>
    </row>
    <row r="78" spans="1:19" x14ac:dyDescent="0.25">
      <c r="A78" s="143">
        <f t="shared" si="19"/>
        <v>19974</v>
      </c>
      <c r="B78" s="143">
        <f t="shared" si="19"/>
        <v>19874</v>
      </c>
      <c r="C78" s="143">
        <f t="shared" si="19"/>
        <v>19774</v>
      </c>
      <c r="D78" s="143">
        <f t="shared" si="19"/>
        <v>19674</v>
      </c>
      <c r="E78" s="143">
        <f t="shared" si="19"/>
        <v>19574</v>
      </c>
      <c r="F78" s="143">
        <f t="shared" si="19"/>
        <v>19474</v>
      </c>
      <c r="G78" s="143">
        <f t="shared" si="19"/>
        <v>19374</v>
      </c>
      <c r="H78" s="143">
        <f t="shared" si="19"/>
        <v>19274</v>
      </c>
      <c r="I78" s="143">
        <f t="shared" si="19"/>
        <v>19174</v>
      </c>
      <c r="J78" s="143">
        <f t="shared" si="20"/>
        <v>11074</v>
      </c>
      <c r="K78" s="143">
        <f t="shared" si="20"/>
        <v>11174</v>
      </c>
      <c r="L78" s="143">
        <f t="shared" si="17"/>
        <v>11274</v>
      </c>
      <c r="M78" s="143">
        <f t="shared" si="17"/>
        <v>11374</v>
      </c>
      <c r="N78" s="143">
        <f t="shared" si="17"/>
        <v>11474</v>
      </c>
      <c r="O78" s="143">
        <f t="shared" si="17"/>
        <v>11574</v>
      </c>
      <c r="P78" s="143">
        <f t="shared" si="18"/>
        <v>11674</v>
      </c>
      <c r="Q78" s="143">
        <f t="shared" si="18"/>
        <v>11774</v>
      </c>
      <c r="R78" s="143">
        <f t="shared" si="18"/>
        <v>11874</v>
      </c>
      <c r="S78" s="143">
        <f t="shared" si="18"/>
        <v>11974</v>
      </c>
    </row>
    <row r="79" spans="1:19" x14ac:dyDescent="0.25">
      <c r="A79" s="143">
        <f t="shared" si="19"/>
        <v>19975</v>
      </c>
      <c r="B79" s="143">
        <f t="shared" si="19"/>
        <v>19875</v>
      </c>
      <c r="C79" s="143">
        <f t="shared" si="19"/>
        <v>19775</v>
      </c>
      <c r="D79" s="143">
        <f t="shared" si="19"/>
        <v>19675</v>
      </c>
      <c r="E79" s="143">
        <f t="shared" si="19"/>
        <v>19575</v>
      </c>
      <c r="F79" s="143">
        <f t="shared" si="19"/>
        <v>19475</v>
      </c>
      <c r="G79" s="143">
        <f t="shared" si="19"/>
        <v>19375</v>
      </c>
      <c r="H79" s="143">
        <f t="shared" si="19"/>
        <v>19275</v>
      </c>
      <c r="I79" s="143">
        <f t="shared" si="19"/>
        <v>19175</v>
      </c>
      <c r="J79" s="143">
        <f t="shared" si="20"/>
        <v>11075</v>
      </c>
      <c r="K79" s="143">
        <f t="shared" si="20"/>
        <v>11175</v>
      </c>
      <c r="L79" s="143">
        <f t="shared" si="17"/>
        <v>11275</v>
      </c>
      <c r="M79" s="143">
        <f t="shared" si="17"/>
        <v>11375</v>
      </c>
      <c r="N79" s="143">
        <f t="shared" si="17"/>
        <v>11475</v>
      </c>
      <c r="O79" s="143">
        <f t="shared" si="17"/>
        <v>11575</v>
      </c>
      <c r="P79" s="143">
        <f t="shared" si="18"/>
        <v>11675</v>
      </c>
      <c r="Q79" s="143">
        <f t="shared" si="18"/>
        <v>11775</v>
      </c>
      <c r="R79" s="143">
        <f t="shared" si="18"/>
        <v>11875</v>
      </c>
      <c r="S79" s="143">
        <f t="shared" si="18"/>
        <v>11975</v>
      </c>
    </row>
    <row r="80" spans="1:19" x14ac:dyDescent="0.25">
      <c r="A80" s="143">
        <f t="shared" si="19"/>
        <v>19976</v>
      </c>
      <c r="B80" s="143">
        <f t="shared" si="19"/>
        <v>19876</v>
      </c>
      <c r="C80" s="143">
        <f t="shared" si="19"/>
        <v>19776</v>
      </c>
      <c r="D80" s="143">
        <f t="shared" si="19"/>
        <v>19676</v>
      </c>
      <c r="E80" s="143">
        <f t="shared" si="19"/>
        <v>19576</v>
      </c>
      <c r="F80" s="143">
        <f t="shared" si="19"/>
        <v>19476</v>
      </c>
      <c r="G80" s="143">
        <f t="shared" si="19"/>
        <v>19376</v>
      </c>
      <c r="H80" s="143">
        <f t="shared" si="19"/>
        <v>19276</v>
      </c>
      <c r="I80" s="143">
        <f t="shared" si="19"/>
        <v>19176</v>
      </c>
      <c r="J80" s="143">
        <f t="shared" si="20"/>
        <v>11076</v>
      </c>
      <c r="K80" s="143">
        <f t="shared" si="20"/>
        <v>11176</v>
      </c>
      <c r="L80" s="143">
        <f t="shared" si="17"/>
        <v>11276</v>
      </c>
      <c r="M80" s="143">
        <f t="shared" si="17"/>
        <v>11376</v>
      </c>
      <c r="N80" s="143">
        <f t="shared" si="17"/>
        <v>11476</v>
      </c>
      <c r="O80" s="143">
        <f t="shared" si="17"/>
        <v>11576</v>
      </c>
      <c r="P80" s="143">
        <f t="shared" si="18"/>
        <v>11676</v>
      </c>
      <c r="Q80" s="143">
        <f t="shared" si="18"/>
        <v>11776</v>
      </c>
      <c r="R80" s="143">
        <f t="shared" si="18"/>
        <v>11876</v>
      </c>
      <c r="S80" s="143">
        <f t="shared" si="18"/>
        <v>11976</v>
      </c>
    </row>
    <row r="81" spans="1:19" x14ac:dyDescent="0.25">
      <c r="A81" s="143">
        <f t="shared" si="19"/>
        <v>19977</v>
      </c>
      <c r="B81" s="143">
        <f t="shared" si="19"/>
        <v>19877</v>
      </c>
      <c r="C81" s="143">
        <f t="shared" si="19"/>
        <v>19777</v>
      </c>
      <c r="D81" s="143">
        <f t="shared" si="19"/>
        <v>19677</v>
      </c>
      <c r="E81" s="143">
        <f t="shared" si="19"/>
        <v>19577</v>
      </c>
      <c r="F81" s="143">
        <f t="shared" si="19"/>
        <v>19477</v>
      </c>
      <c r="G81" s="143">
        <f t="shared" si="19"/>
        <v>19377</v>
      </c>
      <c r="H81" s="143">
        <f t="shared" si="19"/>
        <v>19277</v>
      </c>
      <c r="I81" s="143">
        <f t="shared" si="19"/>
        <v>19177</v>
      </c>
      <c r="J81" s="143">
        <f t="shared" si="20"/>
        <v>11077</v>
      </c>
      <c r="K81" s="143">
        <f t="shared" si="20"/>
        <v>11177</v>
      </c>
      <c r="L81" s="143">
        <f t="shared" si="17"/>
        <v>11277</v>
      </c>
      <c r="M81" s="143">
        <f t="shared" si="17"/>
        <v>11377</v>
      </c>
      <c r="N81" s="143">
        <f t="shared" si="17"/>
        <v>11477</v>
      </c>
      <c r="O81" s="143">
        <f t="shared" si="17"/>
        <v>11577</v>
      </c>
      <c r="P81" s="143">
        <f t="shared" si="18"/>
        <v>11677</v>
      </c>
      <c r="Q81" s="143">
        <f t="shared" si="18"/>
        <v>11777</v>
      </c>
      <c r="R81" s="143">
        <f t="shared" si="18"/>
        <v>11877</v>
      </c>
      <c r="S81" s="143">
        <f t="shared" si="18"/>
        <v>11977</v>
      </c>
    </row>
    <row r="82" spans="1:19" x14ac:dyDescent="0.25">
      <c r="A82" s="143">
        <f t="shared" si="19"/>
        <v>19978</v>
      </c>
      <c r="B82" s="143">
        <f t="shared" si="19"/>
        <v>19878</v>
      </c>
      <c r="C82" s="143">
        <f t="shared" si="19"/>
        <v>19778</v>
      </c>
      <c r="D82" s="143">
        <f t="shared" si="19"/>
        <v>19678</v>
      </c>
      <c r="E82" s="143">
        <f t="shared" si="19"/>
        <v>19578</v>
      </c>
      <c r="F82" s="143">
        <f t="shared" si="19"/>
        <v>19478</v>
      </c>
      <c r="G82" s="143">
        <f t="shared" si="19"/>
        <v>19378</v>
      </c>
      <c r="H82" s="143">
        <f t="shared" si="19"/>
        <v>19278</v>
      </c>
      <c r="I82" s="143">
        <f t="shared" si="19"/>
        <v>19178</v>
      </c>
      <c r="J82" s="143">
        <f t="shared" si="20"/>
        <v>11078</v>
      </c>
      <c r="K82" s="143">
        <f t="shared" si="20"/>
        <v>11178</v>
      </c>
      <c r="L82" s="143">
        <f t="shared" si="17"/>
        <v>11278</v>
      </c>
      <c r="M82" s="143">
        <f t="shared" si="17"/>
        <v>11378</v>
      </c>
      <c r="N82" s="143">
        <f t="shared" si="17"/>
        <v>11478</v>
      </c>
      <c r="O82" s="143">
        <f t="shared" si="17"/>
        <v>11578</v>
      </c>
      <c r="P82" s="143">
        <f t="shared" si="18"/>
        <v>11678</v>
      </c>
      <c r="Q82" s="143">
        <f t="shared" si="18"/>
        <v>11778</v>
      </c>
      <c r="R82" s="143">
        <f t="shared" si="18"/>
        <v>11878</v>
      </c>
      <c r="S82" s="143">
        <f t="shared" si="18"/>
        <v>11978</v>
      </c>
    </row>
    <row r="83" spans="1:19" x14ac:dyDescent="0.25">
      <c r="A83" s="143">
        <f t="shared" si="19"/>
        <v>19979</v>
      </c>
      <c r="B83" s="143">
        <f t="shared" si="19"/>
        <v>19879</v>
      </c>
      <c r="C83" s="143">
        <f t="shared" si="19"/>
        <v>19779</v>
      </c>
      <c r="D83" s="143">
        <f t="shared" si="19"/>
        <v>19679</v>
      </c>
      <c r="E83" s="143">
        <f t="shared" si="19"/>
        <v>19579</v>
      </c>
      <c r="F83" s="143">
        <f t="shared" si="19"/>
        <v>19479</v>
      </c>
      <c r="G83" s="143">
        <f t="shared" si="19"/>
        <v>19379</v>
      </c>
      <c r="H83" s="143">
        <f t="shared" si="19"/>
        <v>19279</v>
      </c>
      <c r="I83" s="143">
        <f t="shared" si="19"/>
        <v>19179</v>
      </c>
      <c r="J83" s="143">
        <f t="shared" si="20"/>
        <v>11079</v>
      </c>
      <c r="K83" s="143">
        <f t="shared" si="20"/>
        <v>11179</v>
      </c>
      <c r="L83" s="143">
        <f t="shared" si="17"/>
        <v>11279</v>
      </c>
      <c r="M83" s="143">
        <f t="shared" si="17"/>
        <v>11379</v>
      </c>
      <c r="N83" s="143">
        <f t="shared" si="17"/>
        <v>11479</v>
      </c>
      <c r="O83" s="143">
        <f t="shared" si="17"/>
        <v>11579</v>
      </c>
      <c r="P83" s="143">
        <f t="shared" si="18"/>
        <v>11679</v>
      </c>
      <c r="Q83" s="143">
        <f t="shared" si="18"/>
        <v>11779</v>
      </c>
      <c r="R83" s="143">
        <f t="shared" si="18"/>
        <v>11879</v>
      </c>
      <c r="S83" s="143">
        <f t="shared" si="18"/>
        <v>11979</v>
      </c>
    </row>
    <row r="84" spans="1:19" x14ac:dyDescent="0.25">
      <c r="A84" s="143">
        <f t="shared" si="19"/>
        <v>19980</v>
      </c>
      <c r="B84" s="143">
        <f t="shared" si="19"/>
        <v>19880</v>
      </c>
      <c r="C84" s="143">
        <f t="shared" si="19"/>
        <v>19780</v>
      </c>
      <c r="D84" s="143">
        <f t="shared" si="19"/>
        <v>19680</v>
      </c>
      <c r="E84" s="143">
        <f t="shared" si="19"/>
        <v>19580</v>
      </c>
      <c r="F84" s="143">
        <f t="shared" si="19"/>
        <v>19480</v>
      </c>
      <c r="G84" s="143">
        <f t="shared" si="19"/>
        <v>19380</v>
      </c>
      <c r="H84" s="143">
        <f t="shared" si="19"/>
        <v>19280</v>
      </c>
      <c r="I84" s="143">
        <f t="shared" si="19"/>
        <v>19180</v>
      </c>
      <c r="J84" s="143">
        <f t="shared" si="20"/>
        <v>11080</v>
      </c>
      <c r="K84" s="143">
        <f t="shared" si="20"/>
        <v>11180</v>
      </c>
      <c r="L84" s="143">
        <f t="shared" si="17"/>
        <v>11280</v>
      </c>
      <c r="M84" s="143">
        <f t="shared" si="17"/>
        <v>11380</v>
      </c>
      <c r="N84" s="143">
        <f t="shared" si="17"/>
        <v>11480</v>
      </c>
      <c r="O84" s="143">
        <f t="shared" si="17"/>
        <v>11580</v>
      </c>
      <c r="P84" s="143">
        <f t="shared" si="18"/>
        <v>11680</v>
      </c>
      <c r="Q84" s="143">
        <f t="shared" si="18"/>
        <v>11780</v>
      </c>
      <c r="R84" s="143">
        <f t="shared" si="18"/>
        <v>11880</v>
      </c>
      <c r="S84" s="143">
        <f t="shared" si="18"/>
        <v>11980</v>
      </c>
    </row>
    <row r="85" spans="1:19" x14ac:dyDescent="0.25">
      <c r="A85" s="143">
        <f t="shared" si="19"/>
        <v>19981</v>
      </c>
      <c r="B85" s="143">
        <f t="shared" si="19"/>
        <v>19881</v>
      </c>
      <c r="C85" s="143">
        <f t="shared" si="19"/>
        <v>19781</v>
      </c>
      <c r="D85" s="143">
        <f t="shared" si="19"/>
        <v>19681</v>
      </c>
      <c r="E85" s="143">
        <f t="shared" si="19"/>
        <v>19581</v>
      </c>
      <c r="F85" s="143">
        <f t="shared" si="19"/>
        <v>19481</v>
      </c>
      <c r="G85" s="143">
        <f t="shared" si="19"/>
        <v>19381</v>
      </c>
      <c r="H85" s="143">
        <f t="shared" si="19"/>
        <v>19281</v>
      </c>
      <c r="I85" s="143">
        <f t="shared" si="19"/>
        <v>19181</v>
      </c>
      <c r="J85" s="143">
        <f t="shared" si="20"/>
        <v>11081</v>
      </c>
      <c r="K85" s="143">
        <f t="shared" si="20"/>
        <v>11181</v>
      </c>
      <c r="L85" s="143">
        <f t="shared" si="17"/>
        <v>11281</v>
      </c>
      <c r="M85" s="143">
        <f t="shared" si="17"/>
        <v>11381</v>
      </c>
      <c r="N85" s="143">
        <f t="shared" si="17"/>
        <v>11481</v>
      </c>
      <c r="O85" s="143">
        <f t="shared" si="17"/>
        <v>11581</v>
      </c>
      <c r="P85" s="143">
        <f t="shared" si="18"/>
        <v>11681</v>
      </c>
      <c r="Q85" s="143">
        <f t="shared" si="18"/>
        <v>11781</v>
      </c>
      <c r="R85" s="143">
        <f t="shared" si="18"/>
        <v>11881</v>
      </c>
      <c r="S85" s="143">
        <f t="shared" si="18"/>
        <v>11981</v>
      </c>
    </row>
    <row r="86" spans="1:19" x14ac:dyDescent="0.25">
      <c r="A86" s="143">
        <f t="shared" si="19"/>
        <v>19982</v>
      </c>
      <c r="B86" s="143">
        <f t="shared" si="19"/>
        <v>19882</v>
      </c>
      <c r="C86" s="143">
        <f t="shared" si="19"/>
        <v>19782</v>
      </c>
      <c r="D86" s="143">
        <f t="shared" si="19"/>
        <v>19682</v>
      </c>
      <c r="E86" s="143">
        <f t="shared" si="19"/>
        <v>19582</v>
      </c>
      <c r="F86" s="143">
        <f t="shared" si="19"/>
        <v>19482</v>
      </c>
      <c r="G86" s="143">
        <f t="shared" si="19"/>
        <v>19382</v>
      </c>
      <c r="H86" s="143">
        <f t="shared" si="19"/>
        <v>19282</v>
      </c>
      <c r="I86" s="143">
        <f t="shared" si="19"/>
        <v>19182</v>
      </c>
      <c r="J86" s="143">
        <f t="shared" si="20"/>
        <v>11082</v>
      </c>
      <c r="K86" s="143">
        <f t="shared" si="20"/>
        <v>11182</v>
      </c>
      <c r="L86" s="143">
        <f t="shared" si="17"/>
        <v>11282</v>
      </c>
      <c r="M86" s="143">
        <f t="shared" si="17"/>
        <v>11382</v>
      </c>
      <c r="N86" s="143">
        <f t="shared" si="17"/>
        <v>11482</v>
      </c>
      <c r="O86" s="143">
        <f t="shared" si="17"/>
        <v>11582</v>
      </c>
      <c r="P86" s="143">
        <f t="shared" si="18"/>
        <v>11682</v>
      </c>
      <c r="Q86" s="143">
        <f t="shared" si="18"/>
        <v>11782</v>
      </c>
      <c r="R86" s="143">
        <f t="shared" si="18"/>
        <v>11882</v>
      </c>
      <c r="S86" s="143">
        <f t="shared" si="18"/>
        <v>11982</v>
      </c>
    </row>
    <row r="87" spans="1:19" x14ac:dyDescent="0.25">
      <c r="A87" s="143">
        <f t="shared" si="19"/>
        <v>19983</v>
      </c>
      <c r="B87" s="143">
        <f t="shared" si="19"/>
        <v>19883</v>
      </c>
      <c r="C87" s="143">
        <f t="shared" si="19"/>
        <v>19783</v>
      </c>
      <c r="D87" s="143">
        <f t="shared" si="19"/>
        <v>19683</v>
      </c>
      <c r="E87" s="143">
        <f t="shared" si="19"/>
        <v>19583</v>
      </c>
      <c r="F87" s="143">
        <f t="shared" si="19"/>
        <v>19483</v>
      </c>
      <c r="G87" s="143">
        <f t="shared" si="19"/>
        <v>19383</v>
      </c>
      <c r="H87" s="143">
        <f t="shared" si="19"/>
        <v>19283</v>
      </c>
      <c r="I87" s="143">
        <f t="shared" si="19"/>
        <v>19183</v>
      </c>
      <c r="J87" s="143">
        <f t="shared" si="20"/>
        <v>11083</v>
      </c>
      <c r="K87" s="143">
        <f t="shared" si="20"/>
        <v>11183</v>
      </c>
      <c r="L87" s="143">
        <f t="shared" si="17"/>
        <v>11283</v>
      </c>
      <c r="M87" s="143">
        <f t="shared" si="17"/>
        <v>11383</v>
      </c>
      <c r="N87" s="143">
        <f t="shared" si="17"/>
        <v>11483</v>
      </c>
      <c r="O87" s="143">
        <f t="shared" si="17"/>
        <v>11583</v>
      </c>
      <c r="P87" s="143">
        <f t="shared" si="18"/>
        <v>11683</v>
      </c>
      <c r="Q87" s="143">
        <f t="shared" si="18"/>
        <v>11783</v>
      </c>
      <c r="R87" s="143">
        <f t="shared" si="18"/>
        <v>11883</v>
      </c>
      <c r="S87" s="143">
        <f t="shared" si="18"/>
        <v>11983</v>
      </c>
    </row>
    <row r="88" spans="1:19" x14ac:dyDescent="0.25">
      <c r="A88" s="143">
        <f t="shared" si="19"/>
        <v>19984</v>
      </c>
      <c r="B88" s="143">
        <f t="shared" si="19"/>
        <v>19884</v>
      </c>
      <c r="C88" s="143">
        <f t="shared" si="19"/>
        <v>19784</v>
      </c>
      <c r="D88" s="143">
        <f t="shared" si="19"/>
        <v>19684</v>
      </c>
      <c r="E88" s="143">
        <f t="shared" si="19"/>
        <v>19584</v>
      </c>
      <c r="F88" s="143">
        <f t="shared" si="19"/>
        <v>19484</v>
      </c>
      <c r="G88" s="143">
        <f t="shared" si="19"/>
        <v>19384</v>
      </c>
      <c r="H88" s="143">
        <f t="shared" si="19"/>
        <v>19284</v>
      </c>
      <c r="I88" s="143">
        <f t="shared" si="19"/>
        <v>19184</v>
      </c>
      <c r="J88" s="143">
        <f t="shared" si="20"/>
        <v>11084</v>
      </c>
      <c r="K88" s="143">
        <f t="shared" si="20"/>
        <v>11184</v>
      </c>
      <c r="L88" s="143">
        <f t="shared" si="17"/>
        <v>11284</v>
      </c>
      <c r="M88" s="143">
        <f t="shared" si="17"/>
        <v>11384</v>
      </c>
      <c r="N88" s="143">
        <f t="shared" si="17"/>
        <v>11484</v>
      </c>
      <c r="O88" s="143">
        <f t="shared" si="17"/>
        <v>11584</v>
      </c>
      <c r="P88" s="143">
        <f t="shared" si="18"/>
        <v>11684</v>
      </c>
      <c r="Q88" s="143">
        <f t="shared" si="18"/>
        <v>11784</v>
      </c>
      <c r="R88" s="143">
        <f t="shared" si="18"/>
        <v>11884</v>
      </c>
      <c r="S88" s="143">
        <f t="shared" si="18"/>
        <v>11984</v>
      </c>
    </row>
    <row r="89" spans="1:19" x14ac:dyDescent="0.25">
      <c r="A89" s="143">
        <f t="shared" si="19"/>
        <v>19985</v>
      </c>
      <c r="B89" s="143">
        <f t="shared" si="19"/>
        <v>19885</v>
      </c>
      <c r="C89" s="143">
        <f t="shared" si="19"/>
        <v>19785</v>
      </c>
      <c r="D89" s="143">
        <f t="shared" si="19"/>
        <v>19685</v>
      </c>
      <c r="E89" s="143">
        <f t="shared" si="19"/>
        <v>19585</v>
      </c>
      <c r="F89" s="143">
        <f t="shared" si="19"/>
        <v>19485</v>
      </c>
      <c r="G89" s="143">
        <f t="shared" si="19"/>
        <v>19385</v>
      </c>
      <c r="H89" s="143">
        <f t="shared" si="19"/>
        <v>19285</v>
      </c>
      <c r="I89" s="143">
        <f t="shared" si="19"/>
        <v>19185</v>
      </c>
      <c r="J89" s="143">
        <f t="shared" si="20"/>
        <v>11085</v>
      </c>
      <c r="K89" s="143">
        <f t="shared" si="20"/>
        <v>11185</v>
      </c>
      <c r="L89" s="143">
        <f t="shared" si="17"/>
        <v>11285</v>
      </c>
      <c r="M89" s="143">
        <f t="shared" si="17"/>
        <v>11385</v>
      </c>
      <c r="N89" s="143">
        <f t="shared" si="17"/>
        <v>11485</v>
      </c>
      <c r="O89" s="143">
        <f t="shared" si="17"/>
        <v>11585</v>
      </c>
      <c r="P89" s="143">
        <f t="shared" si="18"/>
        <v>11685</v>
      </c>
      <c r="Q89" s="143">
        <f t="shared" si="18"/>
        <v>11785</v>
      </c>
      <c r="R89" s="143">
        <f t="shared" si="18"/>
        <v>11885</v>
      </c>
      <c r="S89" s="143">
        <f t="shared" si="18"/>
        <v>11985</v>
      </c>
    </row>
    <row r="90" spans="1:19" x14ac:dyDescent="0.25">
      <c r="A90" s="143">
        <f t="shared" si="19"/>
        <v>19986</v>
      </c>
      <c r="B90" s="143">
        <f t="shared" si="19"/>
        <v>19886</v>
      </c>
      <c r="C90" s="143">
        <f t="shared" si="19"/>
        <v>19786</v>
      </c>
      <c r="D90" s="143">
        <f t="shared" si="19"/>
        <v>19686</v>
      </c>
      <c r="E90" s="143">
        <f t="shared" si="19"/>
        <v>19586</v>
      </c>
      <c r="F90" s="143">
        <f t="shared" si="19"/>
        <v>19486</v>
      </c>
      <c r="G90" s="143">
        <f t="shared" si="19"/>
        <v>19386</v>
      </c>
      <c r="H90" s="143">
        <f t="shared" si="19"/>
        <v>19286</v>
      </c>
      <c r="I90" s="143">
        <f t="shared" si="19"/>
        <v>19186</v>
      </c>
      <c r="J90" s="143">
        <f t="shared" si="20"/>
        <v>11086</v>
      </c>
      <c r="K90" s="143">
        <f t="shared" si="20"/>
        <v>11186</v>
      </c>
      <c r="L90" s="143">
        <f t="shared" si="17"/>
        <v>11286</v>
      </c>
      <c r="M90" s="143">
        <f t="shared" si="17"/>
        <v>11386</v>
      </c>
      <c r="N90" s="143">
        <f t="shared" si="17"/>
        <v>11486</v>
      </c>
      <c r="O90" s="143">
        <f t="shared" si="17"/>
        <v>11586</v>
      </c>
      <c r="P90" s="143">
        <f t="shared" si="18"/>
        <v>11686</v>
      </c>
      <c r="Q90" s="143">
        <f t="shared" si="18"/>
        <v>11786</v>
      </c>
      <c r="R90" s="143">
        <f t="shared" si="18"/>
        <v>11886</v>
      </c>
      <c r="S90" s="143">
        <f t="shared" si="18"/>
        <v>11986</v>
      </c>
    </row>
    <row r="91" spans="1:19" x14ac:dyDescent="0.25">
      <c r="A91" s="143">
        <f t="shared" si="19"/>
        <v>19987</v>
      </c>
      <c r="B91" s="143">
        <f t="shared" si="19"/>
        <v>19887</v>
      </c>
      <c r="C91" s="143">
        <f t="shared" si="19"/>
        <v>19787</v>
      </c>
      <c r="D91" s="143">
        <f t="shared" si="19"/>
        <v>19687</v>
      </c>
      <c r="E91" s="143">
        <f t="shared" si="19"/>
        <v>19587</v>
      </c>
      <c r="F91" s="143">
        <f t="shared" si="19"/>
        <v>19487</v>
      </c>
      <c r="G91" s="143">
        <f t="shared" si="19"/>
        <v>19387</v>
      </c>
      <c r="H91" s="143">
        <f t="shared" si="19"/>
        <v>19287</v>
      </c>
      <c r="I91" s="143">
        <f t="shared" si="19"/>
        <v>19187</v>
      </c>
      <c r="J91" s="143">
        <f t="shared" si="20"/>
        <v>11087</v>
      </c>
      <c r="K91" s="143">
        <f t="shared" si="20"/>
        <v>11187</v>
      </c>
      <c r="L91" s="143">
        <f t="shared" si="17"/>
        <v>11287</v>
      </c>
      <c r="M91" s="143">
        <f t="shared" si="17"/>
        <v>11387</v>
      </c>
      <c r="N91" s="143">
        <f t="shared" si="17"/>
        <v>11487</v>
      </c>
      <c r="O91" s="143">
        <f t="shared" si="17"/>
        <v>11587</v>
      </c>
      <c r="P91" s="143">
        <f t="shared" si="18"/>
        <v>11687</v>
      </c>
      <c r="Q91" s="143">
        <f t="shared" si="18"/>
        <v>11787</v>
      </c>
      <c r="R91" s="143">
        <f t="shared" si="18"/>
        <v>11887</v>
      </c>
      <c r="S91" s="143">
        <f t="shared" si="18"/>
        <v>11987</v>
      </c>
    </row>
    <row r="92" spans="1:19" x14ac:dyDescent="0.25">
      <c r="A92" s="143">
        <f t="shared" si="19"/>
        <v>19988</v>
      </c>
      <c r="B92" s="143">
        <f t="shared" si="19"/>
        <v>19888</v>
      </c>
      <c r="C92" s="143">
        <f t="shared" si="19"/>
        <v>19788</v>
      </c>
      <c r="D92" s="143">
        <f t="shared" si="19"/>
        <v>19688</v>
      </c>
      <c r="E92" s="143">
        <f t="shared" si="19"/>
        <v>19588</v>
      </c>
      <c r="F92" s="143">
        <f t="shared" si="19"/>
        <v>19488</v>
      </c>
      <c r="G92" s="143">
        <f t="shared" si="19"/>
        <v>19388</v>
      </c>
      <c r="H92" s="143">
        <f t="shared" si="19"/>
        <v>19288</v>
      </c>
      <c r="I92" s="143">
        <f t="shared" si="19"/>
        <v>19188</v>
      </c>
      <c r="J92" s="143">
        <f t="shared" si="20"/>
        <v>11088</v>
      </c>
      <c r="K92" s="143">
        <f t="shared" si="20"/>
        <v>11188</v>
      </c>
      <c r="L92" s="143">
        <f t="shared" si="17"/>
        <v>11288</v>
      </c>
      <c r="M92" s="143">
        <f t="shared" si="17"/>
        <v>11388</v>
      </c>
      <c r="N92" s="143">
        <f t="shared" si="17"/>
        <v>11488</v>
      </c>
      <c r="O92" s="143">
        <f t="shared" si="17"/>
        <v>11588</v>
      </c>
      <c r="P92" s="143">
        <f t="shared" si="18"/>
        <v>11688</v>
      </c>
      <c r="Q92" s="143">
        <f t="shared" si="18"/>
        <v>11788</v>
      </c>
      <c r="R92" s="143">
        <f t="shared" si="18"/>
        <v>11888</v>
      </c>
      <c r="S92" s="143">
        <f t="shared" si="18"/>
        <v>11988</v>
      </c>
    </row>
    <row r="93" spans="1:19" x14ac:dyDescent="0.25">
      <c r="A93" s="143">
        <f t="shared" si="19"/>
        <v>19989</v>
      </c>
      <c r="B93" s="143">
        <f t="shared" si="19"/>
        <v>19889</v>
      </c>
      <c r="C93" s="143">
        <f t="shared" si="19"/>
        <v>19789</v>
      </c>
      <c r="D93" s="143">
        <f t="shared" si="19"/>
        <v>19689</v>
      </c>
      <c r="E93" s="143">
        <f t="shared" si="19"/>
        <v>19589</v>
      </c>
      <c r="F93" s="143">
        <f t="shared" si="19"/>
        <v>19489</v>
      </c>
      <c r="G93" s="143">
        <f t="shared" si="19"/>
        <v>19389</v>
      </c>
      <c r="H93" s="143">
        <f t="shared" si="19"/>
        <v>19289</v>
      </c>
      <c r="I93" s="143">
        <f t="shared" si="19"/>
        <v>19189</v>
      </c>
      <c r="J93" s="143">
        <f t="shared" si="20"/>
        <v>11089</v>
      </c>
      <c r="K93" s="143">
        <f t="shared" si="20"/>
        <v>11189</v>
      </c>
      <c r="L93" s="143">
        <f t="shared" si="17"/>
        <v>11289</v>
      </c>
      <c r="M93" s="143">
        <f t="shared" si="17"/>
        <v>11389</v>
      </c>
      <c r="N93" s="143">
        <f t="shared" si="17"/>
        <v>11489</v>
      </c>
      <c r="O93" s="143">
        <f t="shared" si="17"/>
        <v>11589</v>
      </c>
      <c r="P93" s="143">
        <f t="shared" si="18"/>
        <v>11689</v>
      </c>
      <c r="Q93" s="143">
        <f t="shared" si="18"/>
        <v>11789</v>
      </c>
      <c r="R93" s="143">
        <f t="shared" si="18"/>
        <v>11889</v>
      </c>
      <c r="S93" s="143">
        <f t="shared" si="18"/>
        <v>11989</v>
      </c>
    </row>
    <row r="94" spans="1:19" x14ac:dyDescent="0.25">
      <c r="A94" s="143">
        <f t="shared" si="19"/>
        <v>19990</v>
      </c>
      <c r="B94" s="143">
        <f t="shared" si="19"/>
        <v>19890</v>
      </c>
      <c r="C94" s="143">
        <f t="shared" si="19"/>
        <v>19790</v>
      </c>
      <c r="D94" s="143">
        <f t="shared" si="19"/>
        <v>19690</v>
      </c>
      <c r="E94" s="143">
        <f t="shared" si="19"/>
        <v>19590</v>
      </c>
      <c r="F94" s="143">
        <f t="shared" si="19"/>
        <v>19490</v>
      </c>
      <c r="G94" s="143">
        <f t="shared" si="19"/>
        <v>19390</v>
      </c>
      <c r="H94" s="143">
        <f t="shared" si="19"/>
        <v>19290</v>
      </c>
      <c r="I94" s="143">
        <f t="shared" ref="I94:I99" si="21">I93+1</f>
        <v>19190</v>
      </c>
      <c r="J94" s="143">
        <f t="shared" si="20"/>
        <v>11090</v>
      </c>
      <c r="K94" s="143">
        <f t="shared" si="20"/>
        <v>11190</v>
      </c>
      <c r="L94" s="143">
        <f t="shared" si="17"/>
        <v>11290</v>
      </c>
      <c r="M94" s="143">
        <f t="shared" si="17"/>
        <v>11390</v>
      </c>
      <c r="N94" s="143">
        <f t="shared" si="17"/>
        <v>11490</v>
      </c>
      <c r="O94" s="143">
        <f t="shared" si="17"/>
        <v>11590</v>
      </c>
      <c r="P94" s="143">
        <f t="shared" si="18"/>
        <v>11690</v>
      </c>
      <c r="Q94" s="143">
        <f t="shared" si="18"/>
        <v>11790</v>
      </c>
      <c r="R94" s="143">
        <f t="shared" si="18"/>
        <v>11890</v>
      </c>
      <c r="S94" s="143">
        <f t="shared" si="18"/>
        <v>11990</v>
      </c>
    </row>
    <row r="95" spans="1:19" x14ac:dyDescent="0.25">
      <c r="A95" s="143">
        <f t="shared" si="19"/>
        <v>19991</v>
      </c>
      <c r="B95" s="143">
        <f t="shared" si="19"/>
        <v>19891</v>
      </c>
      <c r="C95" s="143">
        <f t="shared" si="19"/>
        <v>19791</v>
      </c>
      <c r="D95" s="143">
        <f t="shared" si="19"/>
        <v>19691</v>
      </c>
      <c r="E95" s="143">
        <f t="shared" si="19"/>
        <v>19591</v>
      </c>
      <c r="F95" s="143">
        <f t="shared" si="19"/>
        <v>19491</v>
      </c>
      <c r="G95" s="143">
        <f t="shared" si="19"/>
        <v>19391</v>
      </c>
      <c r="H95" s="143">
        <f t="shared" si="19"/>
        <v>19291</v>
      </c>
      <c r="I95" s="143">
        <f t="shared" si="21"/>
        <v>19191</v>
      </c>
      <c r="J95" s="143">
        <f t="shared" si="20"/>
        <v>11091</v>
      </c>
      <c r="K95" s="143">
        <f t="shared" si="20"/>
        <v>11191</v>
      </c>
      <c r="L95" s="143">
        <f t="shared" si="17"/>
        <v>11291</v>
      </c>
      <c r="M95" s="143">
        <f t="shared" si="17"/>
        <v>11391</v>
      </c>
      <c r="N95" s="143">
        <f t="shared" si="17"/>
        <v>11491</v>
      </c>
      <c r="O95" s="143">
        <f t="shared" si="17"/>
        <v>11591</v>
      </c>
      <c r="P95" s="143">
        <f t="shared" si="18"/>
        <v>11691</v>
      </c>
      <c r="Q95" s="143">
        <f t="shared" si="18"/>
        <v>11791</v>
      </c>
      <c r="R95" s="143">
        <f t="shared" si="18"/>
        <v>11891</v>
      </c>
      <c r="S95" s="143">
        <f t="shared" si="18"/>
        <v>11991</v>
      </c>
    </row>
    <row r="96" spans="1:19" x14ac:dyDescent="0.25">
      <c r="A96" s="143">
        <f t="shared" si="19"/>
        <v>19992</v>
      </c>
      <c r="B96" s="143">
        <f t="shared" si="19"/>
        <v>19892</v>
      </c>
      <c r="C96" s="143">
        <f t="shared" si="19"/>
        <v>19792</v>
      </c>
      <c r="D96" s="143">
        <f t="shared" si="19"/>
        <v>19692</v>
      </c>
      <c r="E96" s="143">
        <f t="shared" si="19"/>
        <v>19592</v>
      </c>
      <c r="F96" s="143">
        <f t="shared" si="19"/>
        <v>19492</v>
      </c>
      <c r="G96" s="143">
        <f t="shared" si="19"/>
        <v>19392</v>
      </c>
      <c r="H96" s="143">
        <f t="shared" si="19"/>
        <v>19292</v>
      </c>
      <c r="I96" s="143">
        <f t="shared" si="21"/>
        <v>19192</v>
      </c>
      <c r="J96" s="143">
        <f t="shared" si="20"/>
        <v>11092</v>
      </c>
      <c r="K96" s="143">
        <f t="shared" si="20"/>
        <v>11192</v>
      </c>
      <c r="L96" s="143">
        <f t="shared" si="17"/>
        <v>11292</v>
      </c>
      <c r="M96" s="143">
        <f t="shared" si="17"/>
        <v>11392</v>
      </c>
      <c r="N96" s="143">
        <f t="shared" si="17"/>
        <v>11492</v>
      </c>
      <c r="O96" s="143">
        <f t="shared" si="17"/>
        <v>11592</v>
      </c>
      <c r="P96" s="143">
        <f t="shared" si="18"/>
        <v>11692</v>
      </c>
      <c r="Q96" s="143">
        <f t="shared" si="18"/>
        <v>11792</v>
      </c>
      <c r="R96" s="143">
        <f t="shared" si="18"/>
        <v>11892</v>
      </c>
      <c r="S96" s="143">
        <f t="shared" si="18"/>
        <v>11992</v>
      </c>
    </row>
    <row r="97" spans="1:19" x14ac:dyDescent="0.25">
      <c r="A97" s="143">
        <f t="shared" si="19"/>
        <v>19993</v>
      </c>
      <c r="B97" s="143">
        <f t="shared" si="19"/>
        <v>19893</v>
      </c>
      <c r="C97" s="143">
        <f t="shared" si="19"/>
        <v>19793</v>
      </c>
      <c r="D97" s="143">
        <f t="shared" si="19"/>
        <v>19693</v>
      </c>
      <c r="E97" s="143">
        <f t="shared" si="19"/>
        <v>19593</v>
      </c>
      <c r="F97" s="143">
        <f t="shared" si="19"/>
        <v>19493</v>
      </c>
      <c r="G97" s="143">
        <f t="shared" si="19"/>
        <v>19393</v>
      </c>
      <c r="H97" s="143">
        <f t="shared" si="19"/>
        <v>19293</v>
      </c>
      <c r="I97" s="143">
        <f t="shared" si="21"/>
        <v>19193</v>
      </c>
      <c r="J97" s="143">
        <f t="shared" si="20"/>
        <v>11093</v>
      </c>
      <c r="K97" s="143">
        <f t="shared" si="20"/>
        <v>11193</v>
      </c>
      <c r="L97" s="143">
        <f t="shared" si="17"/>
        <v>11293</v>
      </c>
      <c r="M97" s="143">
        <f t="shared" si="17"/>
        <v>11393</v>
      </c>
      <c r="N97" s="143">
        <f t="shared" si="17"/>
        <v>11493</v>
      </c>
      <c r="O97" s="143">
        <f t="shared" si="17"/>
        <v>11593</v>
      </c>
      <c r="P97" s="143">
        <f t="shared" si="18"/>
        <v>11693</v>
      </c>
      <c r="Q97" s="143">
        <f t="shared" si="18"/>
        <v>11793</v>
      </c>
      <c r="R97" s="143">
        <f t="shared" si="18"/>
        <v>11893</v>
      </c>
      <c r="S97" s="143">
        <f t="shared" si="18"/>
        <v>11993</v>
      </c>
    </row>
    <row r="98" spans="1:19" x14ac:dyDescent="0.25">
      <c r="A98" s="143">
        <f t="shared" si="19"/>
        <v>19994</v>
      </c>
      <c r="B98" s="143">
        <f t="shared" si="19"/>
        <v>19894</v>
      </c>
      <c r="C98" s="143">
        <f t="shared" si="19"/>
        <v>19794</v>
      </c>
      <c r="D98" s="143">
        <f t="shared" si="19"/>
        <v>19694</v>
      </c>
      <c r="E98" s="143">
        <f t="shared" si="19"/>
        <v>19594</v>
      </c>
      <c r="F98" s="143">
        <f t="shared" si="19"/>
        <v>19494</v>
      </c>
      <c r="G98" s="143">
        <f t="shared" si="19"/>
        <v>19394</v>
      </c>
      <c r="H98" s="143">
        <f t="shared" si="19"/>
        <v>19294</v>
      </c>
      <c r="I98" s="143">
        <f t="shared" si="21"/>
        <v>19194</v>
      </c>
      <c r="J98" s="143">
        <f t="shared" si="20"/>
        <v>11094</v>
      </c>
      <c r="K98" s="143">
        <f t="shared" si="20"/>
        <v>11194</v>
      </c>
      <c r="L98" s="143">
        <f t="shared" si="17"/>
        <v>11294</v>
      </c>
      <c r="M98" s="143">
        <f t="shared" si="17"/>
        <v>11394</v>
      </c>
      <c r="N98" s="143">
        <f t="shared" si="17"/>
        <v>11494</v>
      </c>
      <c r="O98" s="143">
        <f t="shared" si="17"/>
        <v>11594</v>
      </c>
      <c r="P98" s="143">
        <f t="shared" si="18"/>
        <v>11694</v>
      </c>
      <c r="Q98" s="143">
        <f t="shared" si="18"/>
        <v>11794</v>
      </c>
      <c r="R98" s="143">
        <f t="shared" si="18"/>
        <v>11894</v>
      </c>
      <c r="S98" s="143">
        <f t="shared" si="18"/>
        <v>11994</v>
      </c>
    </row>
    <row r="99" spans="1:19" x14ac:dyDescent="0.25">
      <c r="A99" s="143">
        <f t="shared" si="19"/>
        <v>19995</v>
      </c>
      <c r="B99" s="143">
        <f t="shared" si="19"/>
        <v>19895</v>
      </c>
      <c r="C99" s="143">
        <f t="shared" si="19"/>
        <v>19795</v>
      </c>
      <c r="D99" s="143">
        <f t="shared" si="19"/>
        <v>19695</v>
      </c>
      <c r="E99" s="143">
        <f t="shared" si="19"/>
        <v>19595</v>
      </c>
      <c r="F99" s="143">
        <f t="shared" si="19"/>
        <v>19495</v>
      </c>
      <c r="G99" s="143">
        <f t="shared" si="19"/>
        <v>19395</v>
      </c>
      <c r="H99" s="143">
        <f t="shared" si="19"/>
        <v>19295</v>
      </c>
      <c r="I99" s="143">
        <f t="shared" si="21"/>
        <v>19195</v>
      </c>
      <c r="J99" s="143">
        <f t="shared" si="20"/>
        <v>11095</v>
      </c>
      <c r="K99" s="143">
        <f t="shared" si="20"/>
        <v>11195</v>
      </c>
      <c r="L99" s="143">
        <f t="shared" si="17"/>
        <v>11295</v>
      </c>
      <c r="M99" s="143">
        <f t="shared" si="17"/>
        <v>11395</v>
      </c>
      <c r="N99" s="143">
        <f t="shared" si="17"/>
        <v>11495</v>
      </c>
      <c r="O99" s="143">
        <f t="shared" si="17"/>
        <v>11595</v>
      </c>
      <c r="P99" s="143">
        <f t="shared" si="18"/>
        <v>11695</v>
      </c>
      <c r="Q99" s="143">
        <f t="shared" si="18"/>
        <v>11795</v>
      </c>
      <c r="R99" s="143">
        <f t="shared" si="18"/>
        <v>11895</v>
      </c>
      <c r="S99" s="143">
        <f t="shared" si="18"/>
        <v>11995</v>
      </c>
    </row>
    <row r="100" spans="1:19" x14ac:dyDescent="0.25">
      <c r="A100" s="143">
        <f t="shared" ref="A100:S100" si="22">A99+1</f>
        <v>19996</v>
      </c>
      <c r="B100" s="143">
        <f t="shared" si="22"/>
        <v>19896</v>
      </c>
      <c r="C100" s="143">
        <f t="shared" si="22"/>
        <v>19796</v>
      </c>
      <c r="D100" s="143">
        <f t="shared" si="22"/>
        <v>19696</v>
      </c>
      <c r="E100" s="143">
        <f t="shared" si="22"/>
        <v>19596</v>
      </c>
      <c r="F100" s="143">
        <f t="shared" si="22"/>
        <v>19496</v>
      </c>
      <c r="G100" s="143">
        <f t="shared" si="22"/>
        <v>19396</v>
      </c>
      <c r="H100" s="143">
        <f t="shared" si="22"/>
        <v>19296</v>
      </c>
      <c r="I100" s="143">
        <f t="shared" si="22"/>
        <v>19196</v>
      </c>
      <c r="J100" s="143">
        <f t="shared" si="22"/>
        <v>11096</v>
      </c>
      <c r="K100" s="143">
        <f t="shared" si="22"/>
        <v>11196</v>
      </c>
      <c r="L100" s="143">
        <f t="shared" si="22"/>
        <v>11296</v>
      </c>
      <c r="M100" s="143">
        <f t="shared" si="22"/>
        <v>11396</v>
      </c>
      <c r="N100" s="143">
        <f t="shared" si="22"/>
        <v>11496</v>
      </c>
      <c r="O100" s="143">
        <f t="shared" si="22"/>
        <v>11596</v>
      </c>
      <c r="P100" s="143">
        <f t="shared" si="22"/>
        <v>11696</v>
      </c>
      <c r="Q100" s="143">
        <f t="shared" si="22"/>
        <v>11796</v>
      </c>
      <c r="R100" s="143">
        <f t="shared" si="22"/>
        <v>11896</v>
      </c>
      <c r="S100" s="143">
        <f t="shared" si="22"/>
        <v>11996</v>
      </c>
    </row>
    <row r="101" spans="1:19" x14ac:dyDescent="0.25">
      <c r="A101" s="143">
        <f t="shared" ref="A101:S103" si="23">A100+1</f>
        <v>19997</v>
      </c>
      <c r="B101" s="143">
        <f t="shared" si="23"/>
        <v>19897</v>
      </c>
      <c r="C101" s="143">
        <f t="shared" si="23"/>
        <v>19797</v>
      </c>
      <c r="D101" s="143">
        <f t="shared" si="23"/>
        <v>19697</v>
      </c>
      <c r="E101" s="143">
        <f t="shared" si="23"/>
        <v>19597</v>
      </c>
      <c r="F101" s="143">
        <f t="shared" si="23"/>
        <v>19497</v>
      </c>
      <c r="G101" s="143">
        <f t="shared" si="23"/>
        <v>19397</v>
      </c>
      <c r="H101" s="143">
        <f t="shared" si="23"/>
        <v>19297</v>
      </c>
      <c r="I101" s="143">
        <f t="shared" si="23"/>
        <v>19197</v>
      </c>
      <c r="J101" s="143">
        <f t="shared" si="23"/>
        <v>11097</v>
      </c>
      <c r="K101" s="143">
        <f t="shared" si="23"/>
        <v>11197</v>
      </c>
      <c r="L101" s="143">
        <f t="shared" si="23"/>
        <v>11297</v>
      </c>
      <c r="M101" s="143">
        <f t="shared" si="23"/>
        <v>11397</v>
      </c>
      <c r="N101" s="143">
        <f t="shared" si="23"/>
        <v>11497</v>
      </c>
      <c r="O101" s="143">
        <f t="shared" si="23"/>
        <v>11597</v>
      </c>
      <c r="P101" s="143">
        <f t="shared" si="23"/>
        <v>11697</v>
      </c>
      <c r="Q101" s="143">
        <f t="shared" si="23"/>
        <v>11797</v>
      </c>
      <c r="R101" s="143">
        <f t="shared" si="23"/>
        <v>11897</v>
      </c>
      <c r="S101" s="143">
        <f t="shared" si="23"/>
        <v>11997</v>
      </c>
    </row>
    <row r="102" spans="1:19" x14ac:dyDescent="0.25">
      <c r="A102" s="143">
        <f t="shared" si="23"/>
        <v>19998</v>
      </c>
      <c r="B102" s="143">
        <f t="shared" si="23"/>
        <v>19898</v>
      </c>
      <c r="C102" s="143">
        <f t="shared" si="23"/>
        <v>19798</v>
      </c>
      <c r="D102" s="143">
        <f t="shared" si="23"/>
        <v>19698</v>
      </c>
      <c r="E102" s="143">
        <f t="shared" si="23"/>
        <v>19598</v>
      </c>
      <c r="F102" s="143">
        <f t="shared" si="23"/>
        <v>19498</v>
      </c>
      <c r="G102" s="143">
        <f t="shared" si="23"/>
        <v>19398</v>
      </c>
      <c r="H102" s="143">
        <f t="shared" si="23"/>
        <v>19298</v>
      </c>
      <c r="I102" s="143">
        <f t="shared" si="23"/>
        <v>19198</v>
      </c>
      <c r="J102" s="143">
        <f t="shared" si="23"/>
        <v>11098</v>
      </c>
      <c r="K102" s="143">
        <f t="shared" si="23"/>
        <v>11198</v>
      </c>
      <c r="L102" s="143">
        <f t="shared" si="23"/>
        <v>11298</v>
      </c>
      <c r="M102" s="143">
        <f t="shared" si="23"/>
        <v>11398</v>
      </c>
      <c r="N102" s="143">
        <f t="shared" si="23"/>
        <v>11498</v>
      </c>
      <c r="O102" s="143">
        <f t="shared" si="23"/>
        <v>11598</v>
      </c>
      <c r="P102" s="143">
        <f t="shared" si="23"/>
        <v>11698</v>
      </c>
      <c r="Q102" s="143">
        <f t="shared" si="23"/>
        <v>11798</v>
      </c>
      <c r="R102" s="143">
        <f t="shared" si="23"/>
        <v>11898</v>
      </c>
      <c r="S102" s="143">
        <f t="shared" si="23"/>
        <v>11998</v>
      </c>
    </row>
    <row r="103" spans="1:19" x14ac:dyDescent="0.25">
      <c r="A103" s="143">
        <f t="shared" si="23"/>
        <v>19999</v>
      </c>
      <c r="B103" s="143">
        <f t="shared" si="23"/>
        <v>19899</v>
      </c>
      <c r="C103" s="143">
        <f t="shared" si="23"/>
        <v>19799</v>
      </c>
      <c r="D103" s="143">
        <f t="shared" si="23"/>
        <v>19699</v>
      </c>
      <c r="E103" s="143">
        <f t="shared" si="23"/>
        <v>19599</v>
      </c>
      <c r="F103" s="143">
        <f t="shared" si="23"/>
        <v>19499</v>
      </c>
      <c r="G103" s="143">
        <f t="shared" si="23"/>
        <v>19399</v>
      </c>
      <c r="H103" s="143">
        <f t="shared" si="23"/>
        <v>19299</v>
      </c>
      <c r="I103" s="143">
        <f t="shared" si="23"/>
        <v>19199</v>
      </c>
      <c r="J103" s="143">
        <f t="shared" si="23"/>
        <v>11099</v>
      </c>
      <c r="K103" s="143">
        <f t="shared" si="23"/>
        <v>11199</v>
      </c>
      <c r="L103" s="143">
        <f t="shared" si="23"/>
        <v>11299</v>
      </c>
      <c r="M103" s="143">
        <f t="shared" si="23"/>
        <v>11399</v>
      </c>
      <c r="N103" s="143">
        <f t="shared" si="23"/>
        <v>11499</v>
      </c>
      <c r="O103" s="143">
        <f t="shared" si="23"/>
        <v>11599</v>
      </c>
      <c r="P103" s="143">
        <f t="shared" si="23"/>
        <v>11699</v>
      </c>
      <c r="Q103" s="143">
        <f t="shared" si="23"/>
        <v>11799</v>
      </c>
      <c r="R103" s="143">
        <f t="shared" si="23"/>
        <v>11899</v>
      </c>
      <c r="S103" s="143">
        <f t="shared" si="23"/>
        <v>11999</v>
      </c>
    </row>
  </sheetData>
  <mergeCells count="4">
    <mergeCell ref="Z26:AA26"/>
    <mergeCell ref="Z27:AA27"/>
    <mergeCell ref="Z30:AA30"/>
    <mergeCell ref="Z31:AA31"/>
  </mergeCells>
  <dataValidations count="1">
    <dataValidation type="list" allowBlank="1" showInputMessage="1" showErrorMessage="1" sqref="W2" xr:uid="{821AD381-10A1-433B-B026-2EF69E93F71D}">
      <formula1>"1,2,3,4,5,6,7,8,9"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mdGroup">
          <controlPr defaultSize="0" autoLine="0" r:id="rId4">
            <anchor moveWithCells="1">
              <from>
                <xdr:col>20</xdr:col>
                <xdr:colOff>9525</xdr:colOff>
                <xdr:row>3</xdr:row>
                <xdr:rowOff>0</xdr:rowOff>
              </from>
              <to>
                <xdr:col>21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6145" r:id="rId3" name="cmdGroup"/>
      </mc:Fallback>
    </mc:AlternateContent>
    <mc:AlternateContent xmlns:mc="http://schemas.openxmlformats.org/markup-compatibility/2006">
      <mc:Choice Requires="x14">
        <control shapeId="6146" r:id="rId5" name="cmdReadGroup">
          <controlPr defaultSize="0" autoLine="0" r:id="rId6">
            <anchor moveWithCells="1">
              <from>
                <xdr:col>20</xdr:col>
                <xdr:colOff>9525</xdr:colOff>
                <xdr:row>0</xdr:row>
                <xdr:rowOff>200025</xdr:rowOff>
              </from>
              <to>
                <xdr:col>21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46" r:id="rId5" name="cmdReadGrou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5DFC-2B62-48C3-8220-533AF5FD3D99}">
  <sheetPr codeName="Feuil5"/>
  <dimension ref="A1:C36"/>
  <sheetViews>
    <sheetView workbookViewId="0">
      <selection activeCell="Q5" sqref="Q5"/>
    </sheetView>
  </sheetViews>
  <sheetFormatPr baseColWidth="10" defaultRowHeight="15" x14ac:dyDescent="0.25"/>
  <cols>
    <col min="1" max="1" width="51" bestFit="1" customWidth="1"/>
    <col min="2" max="2" width="11.7109375" customWidth="1"/>
  </cols>
  <sheetData>
    <row r="1" spans="1:3" x14ac:dyDescent="0.25">
      <c r="A1" s="5" t="s">
        <v>31</v>
      </c>
      <c r="B1" s="5"/>
    </row>
    <row r="2" spans="1:3" x14ac:dyDescent="0.25">
      <c r="A2" s="18" t="s">
        <v>2</v>
      </c>
      <c r="B2" s="19" t="s">
        <v>28</v>
      </c>
      <c r="C2" s="20" t="b">
        <v>1</v>
      </c>
    </row>
    <row r="3" spans="1:3" x14ac:dyDescent="0.25">
      <c r="A3" s="21" t="s">
        <v>6</v>
      </c>
      <c r="B3" s="8" t="s">
        <v>131</v>
      </c>
      <c r="C3" s="22" t="b">
        <v>1</v>
      </c>
    </row>
    <row r="4" spans="1:3" x14ac:dyDescent="0.25">
      <c r="A4" s="21" t="s">
        <v>13</v>
      </c>
      <c r="B4" s="8" t="s">
        <v>132</v>
      </c>
      <c r="C4" s="22" t="b">
        <v>1</v>
      </c>
    </row>
    <row r="5" spans="1:3" x14ac:dyDescent="0.25">
      <c r="A5" s="23" t="s">
        <v>1</v>
      </c>
      <c r="B5" s="6" t="s">
        <v>27</v>
      </c>
      <c r="C5" s="24" t="b">
        <v>1</v>
      </c>
    </row>
    <row r="6" spans="1:3" x14ac:dyDescent="0.25">
      <c r="A6" s="23" t="s">
        <v>25</v>
      </c>
      <c r="B6" s="6" t="s">
        <v>27</v>
      </c>
      <c r="C6" s="24" t="b">
        <v>1</v>
      </c>
    </row>
    <row r="7" spans="1:3" x14ac:dyDescent="0.25">
      <c r="A7" s="25" t="s">
        <v>20</v>
      </c>
      <c r="B7" s="7" t="s">
        <v>30</v>
      </c>
      <c r="C7" s="26" t="b">
        <v>1</v>
      </c>
    </row>
    <row r="8" spans="1:3" x14ac:dyDescent="0.25">
      <c r="A8" s="25" t="s">
        <v>24</v>
      </c>
      <c r="B8" s="7" t="s">
        <v>30</v>
      </c>
      <c r="C8" s="26" t="b">
        <v>1</v>
      </c>
    </row>
    <row r="9" spans="1:3" x14ac:dyDescent="0.25">
      <c r="A9" s="25" t="s">
        <v>0</v>
      </c>
      <c r="B9" s="7" t="s">
        <v>30</v>
      </c>
      <c r="C9" s="26" t="b">
        <v>1</v>
      </c>
    </row>
    <row r="10" spans="1:3" x14ac:dyDescent="0.25">
      <c r="A10" s="25" t="s">
        <v>18</v>
      </c>
      <c r="B10" s="7" t="s">
        <v>30</v>
      </c>
      <c r="C10" s="26" t="b">
        <v>1</v>
      </c>
    </row>
    <row r="11" spans="1:3" x14ac:dyDescent="0.25">
      <c r="A11" s="25" t="s">
        <v>4</v>
      </c>
      <c r="B11" s="7" t="s">
        <v>30</v>
      </c>
      <c r="C11" s="26" t="b">
        <v>1</v>
      </c>
    </row>
    <row r="12" spans="1:3" x14ac:dyDescent="0.25">
      <c r="A12" s="25" t="s">
        <v>12</v>
      </c>
      <c r="B12" s="7" t="s">
        <v>30</v>
      </c>
      <c r="C12" s="26" t="b">
        <v>1</v>
      </c>
    </row>
    <row r="13" spans="1:3" x14ac:dyDescent="0.25">
      <c r="A13" s="25" t="s">
        <v>5</v>
      </c>
      <c r="B13" s="7" t="s">
        <v>30</v>
      </c>
      <c r="C13" s="26" t="b">
        <v>1</v>
      </c>
    </row>
    <row r="14" spans="1:3" x14ac:dyDescent="0.25">
      <c r="A14" s="25" t="s">
        <v>21</v>
      </c>
      <c r="B14" s="7" t="s">
        <v>30</v>
      </c>
      <c r="C14" s="26" t="b">
        <v>1</v>
      </c>
    </row>
    <row r="15" spans="1:3" x14ac:dyDescent="0.25">
      <c r="A15" s="25" t="s">
        <v>23</v>
      </c>
      <c r="B15" s="7" t="s">
        <v>30</v>
      </c>
      <c r="C15" s="26" t="b">
        <v>1</v>
      </c>
    </row>
    <row r="16" spans="1:3" x14ac:dyDescent="0.25">
      <c r="A16" s="25" t="s">
        <v>22</v>
      </c>
      <c r="B16" s="7" t="s">
        <v>30</v>
      </c>
      <c r="C16" s="26" t="b">
        <v>1</v>
      </c>
    </row>
    <row r="17" spans="1:3" x14ac:dyDescent="0.25">
      <c r="A17" s="25" t="s">
        <v>26</v>
      </c>
      <c r="B17" s="7" t="s">
        <v>30</v>
      </c>
      <c r="C17" s="26" t="b">
        <v>1</v>
      </c>
    </row>
    <row r="18" spans="1:3" x14ac:dyDescent="0.25">
      <c r="A18" s="27" t="s">
        <v>3</v>
      </c>
      <c r="B18" s="17"/>
      <c r="C18" s="28" t="b">
        <v>0</v>
      </c>
    </row>
    <row r="19" spans="1:3" x14ac:dyDescent="0.25">
      <c r="A19" s="29" t="s">
        <v>19</v>
      </c>
      <c r="B19" s="9"/>
      <c r="C19" s="30" t="b">
        <v>0</v>
      </c>
    </row>
    <row r="20" spans="1:3" x14ac:dyDescent="0.25">
      <c r="A20" s="104" t="s">
        <v>134</v>
      </c>
      <c r="B20" s="105" t="s">
        <v>135</v>
      </c>
      <c r="C20" s="106" t="b">
        <v>1</v>
      </c>
    </row>
    <row r="21" spans="1:3" x14ac:dyDescent="0.25">
      <c r="A21" s="104" t="s">
        <v>136</v>
      </c>
      <c r="B21" s="105" t="s">
        <v>135</v>
      </c>
      <c r="C21" s="106" t="b">
        <v>1</v>
      </c>
    </row>
    <row r="22" spans="1:3" x14ac:dyDescent="0.25">
      <c r="A22" s="31"/>
      <c r="C22" s="32"/>
    </row>
    <row r="23" spans="1:3" x14ac:dyDescent="0.25">
      <c r="C23" s="32"/>
    </row>
    <row r="24" spans="1:3" x14ac:dyDescent="0.25">
      <c r="C24" s="32"/>
    </row>
    <row r="25" spans="1:3" x14ac:dyDescent="0.25">
      <c r="C25" s="32"/>
    </row>
    <row r="26" spans="1:3" x14ac:dyDescent="0.25">
      <c r="A26" s="31"/>
      <c r="C26" s="32"/>
    </row>
    <row r="27" spans="1:3" x14ac:dyDescent="0.25">
      <c r="A27" s="31"/>
      <c r="C27" s="32"/>
    </row>
    <row r="28" spans="1:3" x14ac:dyDescent="0.25">
      <c r="A28" s="31"/>
      <c r="C28" s="32"/>
    </row>
    <row r="29" spans="1:3" x14ac:dyDescent="0.25">
      <c r="A29" s="31"/>
      <c r="C29" s="32"/>
    </row>
    <row r="30" spans="1:3" x14ac:dyDescent="0.25">
      <c r="A30" s="31"/>
      <c r="C30" s="32"/>
    </row>
    <row r="31" spans="1:3" x14ac:dyDescent="0.25">
      <c r="A31" s="31"/>
      <c r="C31" s="32"/>
    </row>
    <row r="32" spans="1:3" x14ac:dyDescent="0.25">
      <c r="A32" s="31"/>
      <c r="C32" s="32"/>
    </row>
    <row r="33" spans="1:3" x14ac:dyDescent="0.25">
      <c r="A33" s="31"/>
      <c r="C33" s="32"/>
    </row>
    <row r="34" spans="1:3" x14ac:dyDescent="0.25">
      <c r="A34" s="31"/>
      <c r="C34" s="32"/>
    </row>
    <row r="35" spans="1:3" x14ac:dyDescent="0.25">
      <c r="A35" s="31"/>
      <c r="C35" s="32"/>
    </row>
    <row r="36" spans="1:3" x14ac:dyDescent="0.25">
      <c r="A36" s="33"/>
      <c r="B36" s="34"/>
      <c r="C36" s="35"/>
    </row>
  </sheetData>
  <sortState xmlns:xlrd2="http://schemas.microsoft.com/office/spreadsheetml/2017/richdata2" ref="A2:C19">
    <sortCondition ref="B2:B19"/>
    <sortCondition ref="A2:A19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A4F1C-44FD-48F4-B0C1-C7BE13D2FE2A}">
  <sheetPr codeName="Feuil6"/>
  <dimension ref="A1:B12"/>
  <sheetViews>
    <sheetView workbookViewId="0"/>
  </sheetViews>
  <sheetFormatPr baseColWidth="10" defaultRowHeight="15" x14ac:dyDescent="0.25"/>
  <cols>
    <col min="1" max="1" width="14" bestFit="1" customWidth="1"/>
  </cols>
  <sheetData>
    <row r="1" spans="1:2" x14ac:dyDescent="0.25">
      <c r="A1" s="5" t="s">
        <v>32</v>
      </c>
      <c r="B1" t="s">
        <v>158</v>
      </c>
    </row>
    <row r="2" spans="1:2" x14ac:dyDescent="0.25">
      <c r="A2" t="s">
        <v>147</v>
      </c>
    </row>
    <row r="3" spans="1:2" x14ac:dyDescent="0.25">
      <c r="A3" t="s">
        <v>148</v>
      </c>
    </row>
    <row r="4" spans="1:2" x14ac:dyDescent="0.25">
      <c r="A4" t="s">
        <v>149</v>
      </c>
    </row>
    <row r="5" spans="1:2" x14ac:dyDescent="0.25">
      <c r="A5" t="s">
        <v>150</v>
      </c>
    </row>
    <row r="6" spans="1:2" x14ac:dyDescent="0.25">
      <c r="A6" t="s">
        <v>151</v>
      </c>
    </row>
    <row r="7" spans="1:2" x14ac:dyDescent="0.25">
      <c r="A7" t="s">
        <v>152</v>
      </c>
    </row>
    <row r="8" spans="1:2" x14ac:dyDescent="0.25">
      <c r="A8" t="s">
        <v>153</v>
      </c>
    </row>
    <row r="9" spans="1:2" x14ac:dyDescent="0.25">
      <c r="A9" t="s">
        <v>154</v>
      </c>
    </row>
    <row r="10" spans="1:2" x14ac:dyDescent="0.25">
      <c r="A10" t="s">
        <v>155</v>
      </c>
    </row>
    <row r="11" spans="1:2" x14ac:dyDescent="0.25">
      <c r="A11" t="s">
        <v>156</v>
      </c>
    </row>
    <row r="12" spans="1:2" x14ac:dyDescent="0.25">
      <c r="A12" t="s">
        <v>157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20</vt:i4>
      </vt:variant>
    </vt:vector>
  </HeadingPairs>
  <TitlesOfParts>
    <vt:vector size="26" baseType="lpstr">
      <vt:lpstr>STEP 1</vt:lpstr>
      <vt:lpstr>STEP 2</vt:lpstr>
      <vt:lpstr>TreeView</vt:lpstr>
      <vt:lpstr>Group</vt:lpstr>
      <vt:lpstr>Blocs</vt:lpstr>
      <vt:lpstr>Temp</vt:lpstr>
      <vt:lpstr>Blocs_Siemens</vt:lpstr>
      <vt:lpstr>celAddress</vt:lpstr>
      <vt:lpstr>celArea</vt:lpstr>
      <vt:lpstr>celCustomer</vt:lpstr>
      <vt:lpstr>celDate</vt:lpstr>
      <vt:lpstr>celDoubles</vt:lpstr>
      <vt:lpstr>celEQ</vt:lpstr>
      <vt:lpstr>celFolder</vt:lpstr>
      <vt:lpstr>celLimits</vt:lpstr>
      <vt:lpstr>celLocation</vt:lpstr>
      <vt:lpstr>celModeler</vt:lpstr>
      <vt:lpstr>celSystem</vt:lpstr>
      <vt:lpstr>FloorNameOrg</vt:lpstr>
      <vt:lpstr>FloorNameProject</vt:lpstr>
      <vt:lpstr>GroupStructure</vt:lpstr>
      <vt:lpstr>Levels</vt:lpstr>
      <vt:lpstr>rngCheckList</vt:lpstr>
      <vt:lpstr>rngTABnew</vt:lpstr>
      <vt:lpstr>rngTABold</vt:lpstr>
      <vt:lpstr>rngTABProject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Grossen, Olivier (RC-CH SI B ASR OPS FS)</dc:creator>
  <cp:lastModifiedBy>Mendes, Micael (RC-CH SI B ASR OPS FS 1)</cp:lastModifiedBy>
  <dcterms:created xsi:type="dcterms:W3CDTF">2025-07-28T15:20:56Z</dcterms:created>
  <dcterms:modified xsi:type="dcterms:W3CDTF">2025-10-05T15:39:06Z</dcterms:modified>
</cp:coreProperties>
</file>